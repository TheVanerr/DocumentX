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14\File\02-ÜRETİM\"/>
    </mc:Choice>
  </mc:AlternateContent>
  <xr:revisionPtr revIDLastSave="0" documentId="13_ncr:2001_{4395C909-D565-436E-A521-BEDE53DEC740}" xr6:coauthVersionLast="47" xr6:coauthVersionMax="47" xr10:uidLastSave="{00000000-0000-0000-0000-000000000000}"/>
  <bookViews>
    <workbookView xWindow="-120" yWindow="-120" windowWidth="25440" windowHeight="15270" tabRatio="908" firstSheet="1" activeTab="1" xr2:uid="{D9D94674-32AC-4040-BC47-35C9DDEB3ED2}"/>
  </bookViews>
  <sheets>
    <sheet name="LYM Series" sheetId="1" r:id="rId1"/>
    <sheet name="KBN1 Series" sheetId="2" r:id="rId2"/>
    <sheet name="KBN2 Series" sheetId="3" r:id="rId3"/>
    <sheet name="VDL1 Series" sheetId="4" r:id="rId4"/>
    <sheet name="VDL2 Series" sheetId="5" r:id="rId5"/>
    <sheet name="VDL3 Series" sheetId="6" r:id="rId6"/>
    <sheet name="RTS Series" sheetId="7" r:id="rId7"/>
    <sheet name="KNV Series" sheetId="12" r:id="rId8"/>
    <sheet name="ULT M Series" sheetId="8" r:id="rId9"/>
    <sheet name="ULT M-L Series" sheetId="9" r:id="rId10"/>
    <sheet name="MST LVB Series" sheetId="11" r:id="rId11"/>
    <sheet name="MST Pro Series" sheetId="10" r:id="rId12"/>
  </sheets>
  <definedNames>
    <definedName name="_xlnm._FilterDatabase" localSheetId="1" hidden="1">'KBN1 Series'!$B$2:$B$23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22" i="2" l="1"/>
  <c r="D13" i="10"/>
  <c r="D24" i="12"/>
  <c r="E24" i="12"/>
  <c r="F24" i="12"/>
  <c r="G24" i="12"/>
  <c r="D19" i="7"/>
  <c r="E22" i="6"/>
  <c r="D22" i="6"/>
  <c r="E19" i="5"/>
  <c r="F19" i="5"/>
  <c r="G19" i="5"/>
  <c r="D19" i="5"/>
  <c r="E16" i="4"/>
  <c r="D16" i="4"/>
  <c r="J22" i="2"/>
  <c r="K22" i="2"/>
  <c r="L22" i="2"/>
  <c r="M22" i="2"/>
  <c r="N22" i="2"/>
  <c r="O22" i="2"/>
  <c r="P22" i="2"/>
  <c r="Q22" i="2"/>
  <c r="R22" i="2"/>
  <c r="S22" i="2"/>
  <c r="U22" i="2"/>
  <c r="V22" i="2"/>
  <c r="W22" i="2"/>
  <c r="X22" i="2"/>
  <c r="Y22" i="2"/>
  <c r="Z22" i="2"/>
  <c r="AB22" i="2"/>
  <c r="AC22" i="2"/>
  <c r="AD22" i="2"/>
  <c r="AE22" i="2"/>
  <c r="AF22" i="2"/>
  <c r="I22" i="2"/>
  <c r="E22" i="2"/>
  <c r="F22" i="2"/>
  <c r="G22" i="2"/>
  <c r="H22" i="2"/>
  <c r="D22" i="2"/>
  <c r="D2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Pinar Cinici</author>
  </authors>
  <commentList>
    <comment ref="D3" authorId="0" shapeId="0" xr:uid="{EBD837E1-03B4-4233-9BEE-2280FE125426}">
      <text>
        <r>
          <rPr>
            <b/>
            <sz val="9"/>
            <color indexed="81"/>
            <rFont val="Tahoma"/>
            <family val="2"/>
            <charset val="162"/>
          </rPr>
          <t>Pinar Cinici:</t>
        </r>
        <r>
          <rPr>
            <sz val="9"/>
            <color indexed="81"/>
            <rFont val="Tahoma"/>
            <family val="2"/>
            <charset val="162"/>
          </rPr>
          <t xml:space="preserve">
fiyat girilecek
</t>
        </r>
      </text>
    </comment>
    <comment ref="E3" authorId="0" shapeId="0" xr:uid="{F4475E31-F475-417F-8D31-B19969E09980}">
      <text>
        <r>
          <rPr>
            <b/>
            <sz val="9"/>
            <color indexed="81"/>
            <rFont val="Tahoma"/>
            <family val="2"/>
            <charset val="162"/>
          </rPr>
          <t>Pinar Cinici:</t>
        </r>
        <r>
          <rPr>
            <sz val="9"/>
            <color indexed="81"/>
            <rFont val="Tahoma"/>
            <family val="2"/>
            <charset val="162"/>
          </rPr>
          <t xml:space="preserve">
fiyat girilecek</t>
        </r>
      </text>
    </comment>
    <comment ref="F3" authorId="0" shapeId="0" xr:uid="{A495077F-EC1F-4241-A63E-B5E2C7DDE7A8}">
      <text>
        <r>
          <rPr>
            <b/>
            <sz val="9"/>
            <color indexed="81"/>
            <rFont val="Tahoma"/>
            <family val="2"/>
            <charset val="162"/>
          </rPr>
          <t>Pinar Cinici:</t>
        </r>
        <r>
          <rPr>
            <sz val="9"/>
            <color indexed="81"/>
            <rFont val="Tahoma"/>
            <family val="2"/>
            <charset val="162"/>
          </rPr>
          <t xml:space="preserve">
fiyat girilecek</t>
        </r>
      </text>
    </comment>
    <comment ref="G3" authorId="0" shapeId="0" xr:uid="{C51D7D4D-2A0F-4500-9228-BF37C4C68ED7}">
      <text>
        <r>
          <rPr>
            <b/>
            <sz val="9"/>
            <color indexed="81"/>
            <rFont val="Tahoma"/>
            <family val="2"/>
            <charset val="162"/>
          </rPr>
          <t>Pinar Cinici:</t>
        </r>
        <r>
          <rPr>
            <sz val="9"/>
            <color indexed="81"/>
            <rFont val="Tahoma"/>
            <family val="2"/>
            <charset val="162"/>
          </rPr>
          <t xml:space="preserve">
fiyat girilecek
</t>
        </r>
      </text>
    </comment>
    <comment ref="H3" authorId="0" shapeId="0" xr:uid="{75DF80B7-C417-44A8-B6C2-2BCB2CD26C5D}">
      <text>
        <r>
          <rPr>
            <b/>
            <sz val="9"/>
            <color indexed="81"/>
            <rFont val="Tahoma"/>
            <family val="2"/>
            <charset val="162"/>
          </rPr>
          <t>Pinar Cinici:</t>
        </r>
        <r>
          <rPr>
            <sz val="9"/>
            <color indexed="81"/>
            <rFont val="Tahoma"/>
            <family val="2"/>
            <charset val="162"/>
          </rPr>
          <t xml:space="preserve">
fiyat girilecek
</t>
        </r>
      </text>
    </comment>
    <comment ref="I3" authorId="0" shapeId="0" xr:uid="{681E490E-D959-40E7-AB4E-B0E8813E3BAC}">
      <text>
        <r>
          <rPr>
            <b/>
            <sz val="9"/>
            <color indexed="81"/>
            <rFont val="Tahoma"/>
            <family val="2"/>
            <charset val="162"/>
          </rPr>
          <t>Pinar Cinici:</t>
        </r>
        <r>
          <rPr>
            <sz val="9"/>
            <color indexed="81"/>
            <rFont val="Tahoma"/>
            <family val="2"/>
            <charset val="162"/>
          </rPr>
          <t xml:space="preserve">
fiyat girilecek
</t>
        </r>
      </text>
    </comment>
  </commentList>
</comments>
</file>

<file path=xl/sharedStrings.xml><?xml version="1.0" encoding="utf-8"?>
<sst xmlns="http://schemas.openxmlformats.org/spreadsheetml/2006/main" count="1317" uniqueCount="520">
  <si>
    <t xml:space="preserve">KBN 1B MULTİ P DS  </t>
  </si>
  <si>
    <t xml:space="preserve">KBN 1B MULTİ P DN  </t>
  </si>
  <si>
    <t xml:space="preserve">KBN 1B MULTİ E DS </t>
  </si>
  <si>
    <t xml:space="preserve">KBN 1B MULTİ E DN </t>
  </si>
  <si>
    <t>KBN 2B  OTO P DS</t>
  </si>
  <si>
    <t>LYM 950</t>
  </si>
  <si>
    <t>LYM 1150</t>
  </si>
  <si>
    <t>LYM 1350</t>
  </si>
  <si>
    <t>LYM 1500</t>
  </si>
  <si>
    <t>KBN 1B OTO  P 
DS   1350</t>
  </si>
  <si>
    <t>KBN 1B OTO  P 
DS   1500</t>
  </si>
  <si>
    <t>KBN 1B OTO  P 
DS   1650</t>
  </si>
  <si>
    <t>KBN 1B OTO  P 
DS  1850</t>
  </si>
  <si>
    <t>KBN 1B OTO  P 
DS   2050</t>
  </si>
  <si>
    <t>KBN 1B OTO  P 
DS   2350</t>
  </si>
  <si>
    <t>KBN 1B OTO P
 DN   1500</t>
  </si>
  <si>
    <t>KBN 1B OTO P
 DN  1650</t>
  </si>
  <si>
    <t>KBN 1B OTO P
 DN   1850</t>
  </si>
  <si>
    <t>KBN 1B OTO P
 DN  2050</t>
  </si>
  <si>
    <t>KBN 1B OTO P
 DN  2350</t>
  </si>
  <si>
    <t>KBN 1B  OTO E
 DS 1350</t>
  </si>
  <si>
    <t>KBN 1B  OTO E
 DS 1500</t>
  </si>
  <si>
    <t>KBN 1B  OTO E
 DN 1350</t>
  </si>
  <si>
    <t>KBN 1B  OTO E
 DN 1500</t>
  </si>
  <si>
    <t>KBN 1B MULTİ P
 DS   1350</t>
  </si>
  <si>
    <t>KBN 1B MULTİ P
 DS   1500</t>
  </si>
  <si>
    <t>KBN 1B MULTİ P
 DS   1650</t>
  </si>
  <si>
    <t>KBN 1B MULTİ P
 DS   1850</t>
  </si>
  <si>
    <t>KBN 1B MULTİ P
 DS  2050</t>
  </si>
  <si>
    <t>KBN 1B  MULTİ P DN   1350</t>
  </si>
  <si>
    <t>KBN 1B  MULTİ P DN   1500</t>
  </si>
  <si>
    <t>KBN 1B  MULTİ P DN   1650</t>
  </si>
  <si>
    <t>KBN 1B  MULTİ P DN   1850</t>
  </si>
  <si>
    <t xml:space="preserve">KBN 1B MULTİ E DS 1350 </t>
  </si>
  <si>
    <t>KBN 1B MULTİ E DS 1500</t>
  </si>
  <si>
    <t xml:space="preserve">KBN 1B MULTİ E 
DN 1350 </t>
  </si>
  <si>
    <t>KBN 1B MULTİ E 
DN 1500</t>
  </si>
  <si>
    <t>KBN 2B OTO  P
  DS 1350</t>
  </si>
  <si>
    <t>KBN 2B OTO  P
  DS 1500</t>
  </si>
  <si>
    <t>KBN 2B OTO  P
  DS 1650</t>
  </si>
  <si>
    <t>KBN 2B OTO  P
  DS 1850</t>
  </si>
  <si>
    <t>KBN 2B OTO  P
  DS 2050</t>
  </si>
  <si>
    <t>KBN 2B OTO  P
  DS 2350</t>
  </si>
  <si>
    <t>VDL40-2500-1B</t>
  </si>
  <si>
    <t>VDL50-3000-1B</t>
  </si>
  <si>
    <t>VDL40-3500-2B</t>
  </si>
  <si>
    <t>VDL-50-4250-2B</t>
  </si>
  <si>
    <t>VDL60-5500-2B</t>
  </si>
  <si>
    <t>VDL80-6500-2B</t>
  </si>
  <si>
    <t>VDL60-6750-3B</t>
  </si>
  <si>
    <t>VDL80-8000-3B</t>
  </si>
  <si>
    <t>RTS346-2B</t>
  </si>
  <si>
    <t>KNV60-6000-2B</t>
  </si>
  <si>
    <t>KNV60-7500-3B</t>
  </si>
  <si>
    <t>ULT M200 1B</t>
  </si>
  <si>
    <t>ULT M300 1B</t>
  </si>
  <si>
    <t>ULT M400 1B</t>
  </si>
  <si>
    <t>ULT M600 1B</t>
  </si>
  <si>
    <t>ULT M800 1B</t>
  </si>
  <si>
    <t>ULT M50 1B</t>
  </si>
  <si>
    <t>ULT M75 1B</t>
  </si>
  <si>
    <t>ULT M100 1B</t>
  </si>
  <si>
    <t>ULT M150 1B</t>
  </si>
  <si>
    <t>02 01 22</t>
  </si>
  <si>
    <t>02 01 21</t>
  </si>
  <si>
    <t>02 01 23</t>
  </si>
  <si>
    <t>02 01 14</t>
  </si>
  <si>
    <t>02 02 02 02</t>
  </si>
  <si>
    <t>02 02 02 01</t>
  </si>
  <si>
    <t>02 02 02 03</t>
  </si>
  <si>
    <t>02 02 02 05</t>
  </si>
  <si>
    <t>02 02 02 06 01</t>
  </si>
  <si>
    <t>02 02 02 04</t>
  </si>
  <si>
    <t xml:space="preserve"> 02 03 01 05</t>
  </si>
  <si>
    <t>02 03 01 04 03</t>
  </si>
  <si>
    <t>02 03 02 04 01</t>
  </si>
  <si>
    <t>02 03  02 04 04</t>
  </si>
  <si>
    <t>02 03 02 04 27</t>
  </si>
  <si>
    <t>02 03 02 04 29</t>
  </si>
  <si>
    <t>02 03 02 04 07</t>
  </si>
  <si>
    <t>02 03 02 04 09</t>
  </si>
  <si>
    <t>02 04 02</t>
  </si>
  <si>
    <t>Teknik Özellikler</t>
  </si>
  <si>
    <t>Technic   Spesifications</t>
  </si>
  <si>
    <t>Sepet Ölçüsü</t>
  </si>
  <si>
    <t>Max.Parça Yüksekliği</t>
  </si>
  <si>
    <t>Max.Yükleme Ağırlığı</t>
  </si>
  <si>
    <t>Tank Kapasitesi</t>
  </si>
  <si>
    <t>Pompa Gücü</t>
  </si>
  <si>
    <t>Pompa Sayısı</t>
  </si>
  <si>
    <t>Yıkama Kol Sayısı</t>
  </si>
  <si>
    <t>Temizleme Sıcaklığı</t>
  </si>
  <si>
    <t>Diameter Of Basket</t>
  </si>
  <si>
    <t>Max Part Height</t>
  </si>
  <si>
    <t>Max. Workload</t>
  </si>
  <si>
    <t>Tank Capacity</t>
  </si>
  <si>
    <t>Pump Power</t>
  </si>
  <si>
    <t>Pump Volume</t>
  </si>
  <si>
    <t>Pump Number</t>
  </si>
  <si>
    <t>Number Of Washer</t>
  </si>
  <si>
    <t>Cleaning Temperature</t>
  </si>
  <si>
    <t>mm</t>
  </si>
  <si>
    <t>kg</t>
  </si>
  <si>
    <t>lt</t>
  </si>
  <si>
    <t>Pompa   Debisi</t>
  </si>
  <si>
    <t>kW</t>
  </si>
  <si>
    <t>lt/min</t>
  </si>
  <si>
    <t>pcs</t>
  </si>
  <si>
    <t>Gerilim-Frekans</t>
  </si>
  <si>
    <t>Voltage-Frequency</t>
  </si>
  <si>
    <t>V-Hz</t>
  </si>
  <si>
    <t>C</t>
  </si>
  <si>
    <t>380-50</t>
  </si>
  <si>
    <r>
      <rPr>
        <sz val="10"/>
        <color theme="1"/>
        <rFont val="Calibri"/>
        <family val="2"/>
        <charset val="162"/>
      </rPr>
      <t xml:space="preserve">Makine Ölçüleri </t>
    </r>
    <r>
      <rPr>
        <sz val="7"/>
        <color theme="1"/>
        <rFont val="Calibri"/>
        <family val="2"/>
        <charset val="162"/>
      </rPr>
      <t xml:space="preserve">
( Elektrik kutusu hariç)</t>
    </r>
  </si>
  <si>
    <r>
      <rPr>
        <sz val="10"/>
        <color theme="1"/>
        <rFont val="Calibri"/>
        <family val="2"/>
        <charset val="162"/>
      </rPr>
      <t>Machine Dimenstions</t>
    </r>
    <r>
      <rPr>
        <sz val="7"/>
        <color theme="1"/>
        <rFont val="Calibri"/>
        <family val="2"/>
        <charset val="162"/>
      </rPr>
      <t xml:space="preserve">
( Not Included Electric Box)</t>
    </r>
  </si>
  <si>
    <t>ULT M300 1B-L</t>
  </si>
  <si>
    <t>ULT M200 1B-L</t>
  </si>
  <si>
    <t>ULT M400 1B-L</t>
  </si>
  <si>
    <t>ULT M600 1B-L</t>
  </si>
  <si>
    <t>ULT M800 1B-L</t>
  </si>
  <si>
    <t>KBN 1B OTO P 
DN   1350</t>
  </si>
  <si>
    <t>KNV  2B</t>
  </si>
  <si>
    <t>KNV  3B</t>
  </si>
  <si>
    <t>Konveyör Genişliği</t>
  </si>
  <si>
    <t>Conveyor Width</t>
  </si>
  <si>
    <t>KBN 1B   OTO P DS</t>
  </si>
  <si>
    <t xml:space="preserve">KBN 1B OTO P DN    </t>
  </si>
  <si>
    <t>KBN 1B  OTO E DS</t>
  </si>
  <si>
    <t>KBN 1B  OTO E DN</t>
  </si>
  <si>
    <t>Technical Specifications</t>
  </si>
  <si>
    <t>1500*1500*2050</t>
  </si>
  <si>
    <t>1650*1650*2050</t>
  </si>
  <si>
    <t>2.100*1.800*2.520</t>
  </si>
  <si>
    <t>2.300*2.000*2.520</t>
  </si>
  <si>
    <t>2.500*2.200*2.520</t>
  </si>
  <si>
    <t>2500*2400*2520</t>
  </si>
  <si>
    <t>1350*1350*2050</t>
  </si>
  <si>
    <t>2100*1800*2600</t>
  </si>
  <si>
    <t>2.300*2.000*2.600</t>
  </si>
  <si>
    <t>2.500*2.200*2.600</t>
  </si>
  <si>
    <t>2500*2400*2600</t>
  </si>
  <si>
    <t xml:space="preserve">YIKAMA SEPETİ ÇAPI                 </t>
  </si>
  <si>
    <t xml:space="preserve">WASHING BASKET DIAMETER                 </t>
  </si>
  <si>
    <t xml:space="preserve">MAKS. PARÇA YÜKSEKLİĞİ                    </t>
  </si>
  <si>
    <t xml:space="preserve">MAX. PART HEIGHT                    </t>
  </si>
  <si>
    <t xml:space="preserve">MAKS. YÜKLEME AĞIRLIĞI                     </t>
  </si>
  <si>
    <t xml:space="preserve">MAX. LOADING WEIGHT                     </t>
  </si>
  <si>
    <t xml:space="preserve">TANK KAPASİTESİ                                 </t>
  </si>
  <si>
    <t xml:space="preserve">TANK CAPACITY                                 </t>
  </si>
  <si>
    <t xml:space="preserve">TEMİZLİK SICAKLIĞI             </t>
  </si>
  <si>
    <t xml:space="preserve">CLEANING TEMPERATURE             </t>
  </si>
  <si>
    <t xml:space="preserve">TEMİZLİK SÜRESİ                              </t>
  </si>
  <si>
    <t xml:space="preserve">CLEANING TIME                              </t>
  </si>
  <si>
    <t>min</t>
  </si>
  <si>
    <t xml:space="preserve">OTOMATİK MODDA POMPA MOTORUNUN GÜCÜ                                      </t>
  </si>
  <si>
    <t xml:space="preserve">POWER OF AUTOMOTIC MODE PUMP MOTOR                                      </t>
  </si>
  <si>
    <t>POMPA SAYISI</t>
  </si>
  <si>
    <t>NUMBER OF PUMP</t>
  </si>
  <si>
    <t>PCS</t>
  </si>
  <si>
    <t>OTOMATİK MOD POMPA BASINCI</t>
  </si>
  <si>
    <t>AUTOMATIC MODE PUMP PRESSURE</t>
  </si>
  <si>
    <t>bar</t>
  </si>
  <si>
    <t xml:space="preserve">MANUEL MOD BASINÇ POMPA MOTORUNUN GÜCÜ  </t>
  </si>
  <si>
    <t>MANUEL MOD POMPA BASINCI</t>
  </si>
  <si>
    <t>BAR</t>
  </si>
  <si>
    <t>max 100</t>
  </si>
  <si>
    <t>ISITMA YÖNTEMİ</t>
  </si>
  <si>
    <t>HEATING METHOD</t>
  </si>
  <si>
    <t>Electrical Heater</t>
  </si>
  <si>
    <t xml:space="preserve">ISITICI GÜCÜ                           </t>
  </si>
  <si>
    <t xml:space="preserve">TOPLAM GÜÇ                                          </t>
  </si>
  <si>
    <t xml:space="preserve">TOTAL POWER                                          </t>
  </si>
  <si>
    <t xml:space="preserve">GERİLİM                 </t>
  </si>
  <si>
    <t xml:space="preserve">VOLTAGE                                                </t>
  </si>
  <si>
    <t>Yıkama Pompa Gücü</t>
  </si>
  <si>
    <t>MACHINE DIMENSIONS   ( Not Included Electric Box)</t>
  </si>
  <si>
    <t xml:space="preserve">Makine Ölçüleri  ( Elektrik kutusu hariç)
</t>
  </si>
  <si>
    <t xml:space="preserve">LYM 1 </t>
  </si>
  <si>
    <t xml:space="preserve">LYM 2 </t>
  </si>
  <si>
    <t>1. Tank Kapasitesi</t>
  </si>
  <si>
    <t>1. Tank Capacity</t>
  </si>
  <si>
    <t>2. Tank Capacity</t>
  </si>
  <si>
    <t>2. Tank Kapasitesi</t>
  </si>
  <si>
    <t>Pompa  Debisi</t>
  </si>
  <si>
    <t>02 02 01 52</t>
  </si>
  <si>
    <t>02 02 01 51</t>
  </si>
  <si>
    <t>02 02 01 04</t>
  </si>
  <si>
    <t>02 02 01 06</t>
  </si>
  <si>
    <t>02 02 01 09</t>
  </si>
  <si>
    <t>02 02 01 33</t>
  </si>
  <si>
    <t>02 02 01 32</t>
  </si>
  <si>
    <t>02 02 01 42</t>
  </si>
  <si>
    <t>02 02 01 08</t>
  </si>
  <si>
    <t>02 02 01 15</t>
  </si>
  <si>
    <t>02 02 01 14</t>
  </si>
  <si>
    <t>02 02 01 43</t>
  </si>
  <si>
    <t>02 02 01 38</t>
  </si>
  <si>
    <t>02 02 01 39</t>
  </si>
  <si>
    <t>02 02 01 31</t>
  </si>
  <si>
    <t>02 02 01 48</t>
  </si>
  <si>
    <t>02 02 01 35</t>
  </si>
  <si>
    <t>02 02 01 36</t>
  </si>
  <si>
    <t>02 02 01 34</t>
  </si>
  <si>
    <t>02 02 01 37</t>
  </si>
  <si>
    <t>02 02 01 53</t>
  </si>
  <si>
    <t>02 02 01 44</t>
  </si>
  <si>
    <t>02 02 01 45</t>
  </si>
  <si>
    <t>02 02 01 46</t>
  </si>
  <si>
    <t>02 02 01 47</t>
  </si>
  <si>
    <t>02 02 01 40</t>
  </si>
  <si>
    <t>02 02 01 41</t>
  </si>
  <si>
    <t>02 02 01 49</t>
  </si>
  <si>
    <t>02 02 01 50</t>
  </si>
  <si>
    <t>Makine Ölçüleri 
( Elektrik kutusu hariç)</t>
  </si>
  <si>
    <t>Machine Dimenstions
( Not Included Electric Box)</t>
  </si>
  <si>
    <t>0-60</t>
  </si>
  <si>
    <t xml:space="preserve">Toplam Güç </t>
  </si>
  <si>
    <t>Temizleme Süresi</t>
  </si>
  <si>
    <t xml:space="preserve">CLEANING TIME            </t>
  </si>
  <si>
    <t>MANUAL MODE PUMP PRESSURE</t>
  </si>
  <si>
    <t>Max. Loading Weight</t>
  </si>
  <si>
    <t>Total Power</t>
  </si>
  <si>
    <t>Adet / Pcs</t>
  </si>
  <si>
    <t>Yıkama Kapasitesi</t>
  </si>
  <si>
    <t>Tambur Çapı</t>
  </si>
  <si>
    <t>Tambur Boyu</t>
  </si>
  <si>
    <t>Voltage</t>
  </si>
  <si>
    <t>°C</t>
  </si>
  <si>
    <t>Banyo Sayısı</t>
  </si>
  <si>
    <t>Number of Baths</t>
  </si>
  <si>
    <t>Washing Capacity</t>
  </si>
  <si>
    <t>kg/h</t>
  </si>
  <si>
    <t>Drum Diameter</t>
  </si>
  <si>
    <t>Drum Length</t>
  </si>
  <si>
    <t>Yıkama Tank Hacmi</t>
  </si>
  <si>
    <t>Washing Tank Volume</t>
  </si>
  <si>
    <t>Lt</t>
  </si>
  <si>
    <t>Yıkama Sıcaklığı</t>
  </si>
  <si>
    <t>Washing Temperature</t>
  </si>
  <si>
    <t>Washing Pump Power</t>
  </si>
  <si>
    <t>Kurutma Fan Gücü</t>
  </si>
  <si>
    <t>Drying Fan Power</t>
  </si>
  <si>
    <t>Isıtıcı Gücü (Yıkama)</t>
  </si>
  <si>
    <t>Heating Power (Wash)</t>
  </si>
  <si>
    <t>Isıtıcı Gücü (Kurutma)</t>
  </si>
  <si>
    <t>Heating Power (Dry)</t>
  </si>
  <si>
    <t>Çalışma Voltajı</t>
  </si>
  <si>
    <t>Operating Voltage</t>
  </si>
  <si>
    <t>V / Hz</t>
  </si>
  <si>
    <t>-</t>
  </si>
  <si>
    <t>2560 x 1350 x 1750</t>
  </si>
  <si>
    <t>3000 x 1500 x 1800</t>
  </si>
  <si>
    <t>Ø400</t>
  </si>
  <si>
    <t>Ø500</t>
  </si>
  <si>
    <t>380V - 50Hz</t>
  </si>
  <si>
    <t>Durulama Tank Hacmi</t>
  </si>
  <si>
    <t>Rinsing Tank Volume</t>
  </si>
  <si>
    <t>Yıkama / Durulama Sıcaklığı</t>
  </si>
  <si>
    <t>Washing / Rinsing Temp.</t>
  </si>
  <si>
    <t>Durulama Pompa Gücü</t>
  </si>
  <si>
    <t>Rinsing Pump Power</t>
  </si>
  <si>
    <t>Isıtıcı Gücü (Durulama)</t>
  </si>
  <si>
    <t>Heating Power (Rinse)</t>
  </si>
  <si>
    <t>3500 x 1250 x 1700</t>
  </si>
  <si>
    <t>4250 x 1250 x 1800</t>
  </si>
  <si>
    <t>5500 x 1500 x 2000</t>
  </si>
  <si>
    <t>6500 x 1800 x 2200</t>
  </si>
  <si>
    <t>Ø600</t>
  </si>
  <si>
    <t>Ø800</t>
  </si>
  <si>
    <t>Durulama-1 Tank Hacmi</t>
  </si>
  <si>
    <t>Rinsing-1 Tank Volume</t>
  </si>
  <si>
    <t>Durulama-2 Tank Hacmi</t>
  </si>
  <si>
    <t>Rinsing-2 Tank Volume</t>
  </si>
  <si>
    <t>Durulama-1 Pompa Gücü</t>
  </si>
  <si>
    <t>Rinsing-1 Pump Power</t>
  </si>
  <si>
    <t>Durulama-2 Pompa Gücü</t>
  </si>
  <si>
    <t>Rinsing-2 Pump Power</t>
  </si>
  <si>
    <t>Isıtıcı Gücü (Durulama-1)</t>
  </si>
  <si>
    <t>Heating Power (Rinse-1)</t>
  </si>
  <si>
    <t>Isıtıcı Gücü (Durulama-2)</t>
  </si>
  <si>
    <t>Heating Power (Rinse-2)</t>
  </si>
  <si>
    <t>6750 x 1500 x 2000</t>
  </si>
  <si>
    <t>8000 x 1800 x 2200</t>
  </si>
  <si>
    <t>Sepet Ölçüsü (Dış)</t>
  </si>
  <si>
    <t>Basket Size (External)</t>
  </si>
  <si>
    <t>651 × 471 × 300</t>
  </si>
  <si>
    <t>Maksimum Yükleme Kapasitesi</t>
  </si>
  <si>
    <t>Max Loading Capacity</t>
  </si>
  <si>
    <t>50 - 80</t>
  </si>
  <si>
    <t>Yıkama Tankı Kapasitesi</t>
  </si>
  <si>
    <t>Wash Tank Capacity</t>
  </si>
  <si>
    <t>Durulama Tankı Kapasitesi</t>
  </si>
  <si>
    <t>Rinse Tank Capacity</t>
  </si>
  <si>
    <t>Wash Pump Power</t>
  </si>
  <si>
    <t>Rinse Pump Power</t>
  </si>
  <si>
    <t>Pompa Debisi</t>
  </si>
  <si>
    <t>Pump Flow Rate</t>
  </si>
  <si>
    <t>lt/dk</t>
  </si>
  <si>
    <t>Çalışma / Temizleme Sıcaklığı</t>
  </si>
  <si>
    <t>Operating / Cleaning Temp.</t>
  </si>
  <si>
    <t>85 - 90</t>
  </si>
  <si>
    <t>Kurutma Fan Tipi</t>
  </si>
  <si>
    <t>Drying Fan Type</t>
  </si>
  <si>
    <t>Blower</t>
  </si>
  <si>
    <t>2200 × 2500 × 1800</t>
  </si>
  <si>
    <t>KNV90-6000-2B</t>
  </si>
  <si>
    <t>KNV90-7500-3B</t>
  </si>
  <si>
    <t>55°C - 65°C</t>
  </si>
  <si>
    <t>200 - 300 L/dk</t>
  </si>
  <si>
    <t>300 - 450 L/dk</t>
  </si>
  <si>
    <t>380V - 50 Hz</t>
  </si>
  <si>
    <t>Toplam Elektrik Gücü</t>
  </si>
  <si>
    <r>
      <rPr>
        <b/>
        <sz val="18"/>
        <color theme="0"/>
        <rFont val="Calibri"/>
        <family val="2"/>
        <charset val="162"/>
      </rPr>
      <t xml:space="preserve">KNV </t>
    </r>
    <r>
      <rPr>
        <b/>
        <sz val="14"/>
        <color theme="0"/>
        <rFont val="Calibri"/>
        <family val="2"/>
        <charset val="162"/>
      </rPr>
      <t>Konveyör Tip  / Conveyor Type Part Washing Machine</t>
    </r>
  </si>
  <si>
    <r>
      <rPr>
        <b/>
        <sz val="20"/>
        <color theme="0"/>
        <rFont val="Calibri"/>
        <family val="2"/>
        <charset val="162"/>
      </rPr>
      <t>RTS</t>
    </r>
    <r>
      <rPr>
        <b/>
        <sz val="14"/>
        <color theme="0"/>
        <rFont val="Calibri"/>
        <family val="2"/>
        <charset val="162"/>
      </rPr>
      <t xml:space="preserve"> Rotasyon Tip / Rotation Type Washing Machines</t>
    </r>
  </si>
  <si>
    <r>
      <rPr>
        <b/>
        <sz val="22"/>
        <color theme="0"/>
        <rFont val="Calibri"/>
        <family val="2"/>
        <charset val="162"/>
      </rPr>
      <t>KBN 2B</t>
    </r>
    <r>
      <rPr>
        <b/>
        <sz val="18"/>
        <color theme="0"/>
        <rFont val="Calibri"/>
        <family val="2"/>
        <charset val="162"/>
      </rPr>
      <t xml:space="preserve">  Kabin Tip / Cabinet  Type                                                          Çift Banyolu  / Dual-Tank </t>
    </r>
  </si>
  <si>
    <r>
      <rPr>
        <b/>
        <sz val="16"/>
        <color theme="0"/>
        <rFont val="Calibri"/>
        <family val="2"/>
        <charset val="162"/>
      </rPr>
      <t xml:space="preserve">VDL 1 </t>
    </r>
    <r>
      <rPr>
        <b/>
        <sz val="12"/>
        <color theme="0"/>
        <rFont val="Calibri"/>
        <family val="2"/>
        <charset val="162"/>
      </rPr>
      <t xml:space="preserve"> Tambur Tip (  Helezyon Spiralli ) / Drum Type ( Internal Scroll )                                                                                        Tek Banyolu / Single-Tank </t>
    </r>
  </si>
  <si>
    <t xml:space="preserve">ULT M SERİES </t>
  </si>
  <si>
    <t>450*250*250</t>
  </si>
  <si>
    <t>500*300*300</t>
  </si>
  <si>
    <t>600*350*325</t>
  </si>
  <si>
    <t>650*400*350</t>
  </si>
  <si>
    <t>800*400*350</t>
  </si>
  <si>
    <t>600*350*350</t>
  </si>
  <si>
    <t>650*400*375</t>
  </si>
  <si>
    <t>750*450*400</t>
  </si>
  <si>
    <t>850*450*500</t>
  </si>
  <si>
    <t>300*240 (1b)</t>
  </si>
  <si>
    <t>425*275 (1b)</t>
  </si>
  <si>
    <t>425*350 (1b)</t>
  </si>
  <si>
    <t>500*425 (1b)</t>
  </si>
  <si>
    <t>650*425 (1b)</t>
  </si>
  <si>
    <t>W</t>
  </si>
  <si>
    <t>900*450*400</t>
  </si>
  <si>
    <t>1000*550*450</t>
  </si>
  <si>
    <t>1200*650*500</t>
  </si>
  <si>
    <t>1300*750*550</t>
  </si>
  <si>
    <t>950*500*550</t>
  </si>
  <si>
    <t>1050*600*600</t>
  </si>
  <si>
    <t>1250*700*650</t>
  </si>
  <si>
    <t>1350*800*700</t>
  </si>
  <si>
    <t>350*425 (2s-1b)</t>
  </si>
  <si>
    <t>350*425 (2s) / 650*425 (1b)</t>
  </si>
  <si>
    <t>425*650 (2s-1b)</t>
  </si>
  <si>
    <t>425*650 (4s)</t>
  </si>
  <si>
    <t>850*500*500</t>
  </si>
  <si>
    <t>1000*550*550</t>
  </si>
  <si>
    <t>1150*575*620</t>
  </si>
  <si>
    <t>1250*700*700</t>
  </si>
  <si>
    <t>1400*800*700</t>
  </si>
  <si>
    <t>800*450</t>
  </si>
  <si>
    <t>950*500</t>
  </si>
  <si>
    <t>1100*525</t>
  </si>
  <si>
    <t>1200*650</t>
  </si>
  <si>
    <t>1350*750</t>
  </si>
  <si>
    <t>1b*40</t>
  </si>
  <si>
    <t>2s*15 / 1s*30</t>
  </si>
  <si>
    <t>2s*20 / 1s*40</t>
  </si>
  <si>
    <t>2s*40 / 1s*40</t>
  </si>
  <si>
    <t>4s*40</t>
  </si>
  <si>
    <t>Tank Volume</t>
  </si>
  <si>
    <t>Tank Dimensions</t>
  </si>
  <si>
    <t>Platform Dimensions</t>
  </si>
  <si>
    <t>Usefull Hight</t>
  </si>
  <si>
    <t>Transducer Positions</t>
  </si>
  <si>
    <t>Transducer Numbers</t>
  </si>
  <si>
    <t>Ultrasonic Power</t>
  </si>
  <si>
    <t>Heating Power</t>
  </si>
  <si>
    <t>Maksimum Yükleme Ağırlığı</t>
  </si>
  <si>
    <t>Kullanılabilir Yükseklik</t>
  </si>
  <si>
    <t xml:space="preserve">Tank Hacmi </t>
  </si>
  <si>
    <t xml:space="preserve">Tank Ölçüleri </t>
  </si>
  <si>
    <t xml:space="preserve">Platform Ölçüleri </t>
  </si>
  <si>
    <t xml:space="preserve">Temizleme Sıcaklığı </t>
  </si>
  <si>
    <t xml:space="preserve">Transdüser Konumları </t>
  </si>
  <si>
    <t xml:space="preserve">Transdüser Sayısı </t>
  </si>
  <si>
    <t xml:space="preserve">Ultrasonik Güç </t>
  </si>
  <si>
    <t xml:space="preserve">Isıtma Gücü </t>
  </si>
  <si>
    <t xml:space="preserve">Voltaj / Frekans </t>
  </si>
  <si>
    <t>Panel Dimensions</t>
  </si>
  <si>
    <t xml:space="preserve">Panel Ölçüleri </t>
  </si>
  <si>
    <t xml:space="preserve">Makine Ölçüleri 
</t>
  </si>
  <si>
    <t xml:space="preserve">Machine Dimenstions
</t>
  </si>
  <si>
    <r>
      <rPr>
        <b/>
        <sz val="18"/>
        <color theme="0"/>
        <rFont val="Calibri"/>
        <family val="2"/>
        <charset val="162"/>
      </rPr>
      <t>ULT</t>
    </r>
    <r>
      <rPr>
        <b/>
        <sz val="12"/>
        <color theme="0"/>
        <rFont val="Calibri"/>
        <family val="2"/>
        <charset val="162"/>
      </rPr>
      <t xml:space="preserve"> </t>
    </r>
    <r>
      <rPr>
        <b/>
        <sz val="14"/>
        <color theme="0"/>
        <rFont val="Calibri"/>
        <family val="2"/>
        <charset val="162"/>
      </rPr>
      <t>Ultrasonik Tek tanklı-Liftling Hareketli / Ultrasonic Single-Tank Machine with Lifting Mechanism</t>
    </r>
  </si>
  <si>
    <r>
      <rPr>
        <b/>
        <sz val="18"/>
        <color theme="0"/>
        <rFont val="Calibri"/>
        <family val="2"/>
        <charset val="162"/>
      </rPr>
      <t>ULT</t>
    </r>
    <r>
      <rPr>
        <b/>
        <sz val="14"/>
        <color theme="0"/>
        <rFont val="Calibri"/>
        <family val="2"/>
        <charset val="162"/>
      </rPr>
      <t xml:space="preserve"> Ultrasonik Tek tanklı-Sabit Sepetli / Ultrasonic Single-Tank Machine with Fixed Basket</t>
    </r>
  </si>
  <si>
    <t>Isıtma yöntemi</t>
  </si>
  <si>
    <t>900 X 600 X 1250</t>
  </si>
  <si>
    <t>1000 X 700 X 1250</t>
  </si>
  <si>
    <t>kw</t>
  </si>
  <si>
    <t>Elektriksel Direnç / Electrical Resistance</t>
  </si>
  <si>
    <t>MAKSİMUM YÜKLEME KAPASİTESİ</t>
  </si>
  <si>
    <t>YIKAMA POMPASI GÜCÜ</t>
  </si>
  <si>
    <t>WASHING PUMP POWER</t>
  </si>
  <si>
    <t>YIKAMA DİRENÇ GÜCÜ</t>
  </si>
  <si>
    <t>WASH RESISTANCE</t>
  </si>
  <si>
    <t>Makine Ölçüleri ( Kapağı Kapalı )</t>
  </si>
  <si>
    <t>Machine Dimensions (With Lid Closed)</t>
  </si>
  <si>
    <t>Yıkama Alanı Ölçüleri</t>
  </si>
  <si>
    <t>Washing Area Dimensions</t>
  </si>
  <si>
    <t xml:space="preserve">REZİSTANS GÜCÜ  </t>
  </si>
  <si>
    <t>RESISTANCE POWER</t>
  </si>
  <si>
    <t>220V-50(60)Hz</t>
  </si>
  <si>
    <r>
      <t xml:space="preserve">MST LVB </t>
    </r>
    <r>
      <rPr>
        <b/>
        <sz val="12"/>
        <color theme="0"/>
        <rFont val="Calibri"/>
        <family val="2"/>
        <charset val="162"/>
      </rPr>
      <t>Manuel Lavabo (Üstü Açık) Yıkama Makinesi / Manual Sink (Open-Top) Washing Machine</t>
    </r>
  </si>
  <si>
    <r>
      <t xml:space="preserve">MST PRO  </t>
    </r>
    <r>
      <rPr>
        <b/>
        <sz val="12"/>
        <color theme="0"/>
        <rFont val="Calibri"/>
        <family val="2"/>
        <charset val="162"/>
      </rPr>
      <t>Manuel - Kapaklı Tip Yıkama Makinesi / Manual-Lid Type Washing Machine</t>
    </r>
  </si>
  <si>
    <t>2750*1600*2520</t>
  </si>
  <si>
    <t>2950*1750*2520</t>
  </si>
  <si>
    <t>3200*1950*2520</t>
  </si>
  <si>
    <t>3500*2150*2520</t>
  </si>
  <si>
    <t>3800*2450*2520</t>
  </si>
  <si>
    <t>2600*1450*2520</t>
  </si>
  <si>
    <t>41</t>
  </si>
  <si>
    <t xml:space="preserve">745 x 700 x 465      </t>
  </si>
  <si>
    <t xml:space="preserve">1400 x 850 x 1866  </t>
  </si>
  <si>
    <r>
      <rPr>
        <b/>
        <sz val="16"/>
        <color theme="0"/>
        <rFont val="Calibri"/>
        <family val="2"/>
        <charset val="162"/>
      </rPr>
      <t>VDL 2</t>
    </r>
    <r>
      <rPr>
        <b/>
        <sz val="10"/>
        <color theme="0"/>
        <rFont val="Calibri"/>
        <family val="2"/>
        <charset val="162"/>
      </rPr>
      <t xml:space="preserve">   Tambur Tip (  Helezyon Spiralli ) / Drum Type ( Internal Scroll )                                     Çift Banyolu  / Dual-Tank </t>
    </r>
  </si>
  <si>
    <r>
      <t xml:space="preserve">MST LVB </t>
    </r>
    <r>
      <rPr>
        <b/>
        <sz val="16"/>
        <color theme="1"/>
        <rFont val="Calibri"/>
        <family val="2"/>
        <charset val="162"/>
      </rPr>
      <t>60</t>
    </r>
  </si>
  <si>
    <r>
      <t xml:space="preserve">MST LVB </t>
    </r>
    <r>
      <rPr>
        <b/>
        <sz val="16"/>
        <color theme="1"/>
        <rFont val="Calibri"/>
        <family val="2"/>
        <charset val="162"/>
      </rPr>
      <t>100</t>
    </r>
  </si>
  <si>
    <t>ULT M - L SERİES</t>
  </si>
  <si>
    <t>950 X 950 X 1250</t>
  </si>
  <si>
    <t>1200 X 1200 X 1400</t>
  </si>
  <si>
    <t>1300 X 1300 X 1500</t>
  </si>
  <si>
    <t>1800 X 1800 X 1600</t>
  </si>
  <si>
    <t>Toplam Güç</t>
  </si>
  <si>
    <t>Taşıma Arabası</t>
  </si>
  <si>
    <t>Transport Trolley</t>
  </si>
  <si>
    <t>✓</t>
  </si>
  <si>
    <t>–</t>
  </si>
  <si>
    <t>Teknik özellikler proje bazlı olarak değişiklik gösterebilir. / Technical specifications may vary depending on the project.</t>
  </si>
  <si>
    <t>02 05 16</t>
  </si>
  <si>
    <t>02 05 13</t>
  </si>
  <si>
    <t xml:space="preserve">02 05 23 </t>
  </si>
  <si>
    <t>02 05 08</t>
  </si>
  <si>
    <t>02 07 04 05</t>
  </si>
  <si>
    <t>02 07 04 07</t>
  </si>
  <si>
    <t>02 07 04 09</t>
  </si>
  <si>
    <t>02 07 04 03</t>
  </si>
  <si>
    <t>02 07 04 01</t>
  </si>
  <si>
    <t>02 12 13</t>
  </si>
  <si>
    <t>02 12 04</t>
  </si>
  <si>
    <t>02 12 05</t>
  </si>
  <si>
    <t>MST PRO 2</t>
  </si>
  <si>
    <r>
      <rPr>
        <b/>
        <sz val="12"/>
        <color rgb="FF00B050"/>
        <rFont val="Aptos Narrow"/>
        <family val="2"/>
        <scheme val="minor"/>
      </rPr>
      <t xml:space="preserve">✓ </t>
    </r>
    <r>
      <rPr>
        <b/>
        <sz val="12"/>
        <color theme="1"/>
        <rFont val="Aptos Narrow"/>
        <family val="2"/>
        <scheme val="minor"/>
      </rPr>
      <t xml:space="preserve">/ </t>
    </r>
    <r>
      <rPr>
        <b/>
        <sz val="12"/>
        <color rgb="FFC00000"/>
        <rFont val="Aptos Narrow"/>
        <family val="2"/>
        <scheme val="minor"/>
      </rPr>
      <t>–</t>
    </r>
  </si>
  <si>
    <r>
      <rPr>
        <b/>
        <sz val="18"/>
        <color theme="0"/>
        <rFont val="Calibri"/>
        <family val="2"/>
        <charset val="162"/>
      </rPr>
      <t>LYM</t>
    </r>
    <r>
      <rPr>
        <b/>
        <sz val="14"/>
        <color theme="0"/>
        <rFont val="Calibri"/>
        <family val="2"/>
        <charset val="162"/>
      </rPr>
      <t xml:space="preserve"> ( Döner sepetli parça yıkama makinası / Rotary Basket Parts Washing Machine )</t>
    </r>
  </si>
  <si>
    <t>1400*825*945</t>
  </si>
  <si>
    <t>1550*875*995</t>
  </si>
  <si>
    <t>1700*900*1045</t>
  </si>
  <si>
    <t>1800*1025*1055</t>
  </si>
  <si>
    <t>2000*1125*1555</t>
  </si>
  <si>
    <t>790 x 450 x 570</t>
  </si>
  <si>
    <t>1075 x 575 x 900</t>
  </si>
  <si>
    <t>1260 x 730 x 925</t>
  </si>
  <si>
    <t>1355 x 825 x 945</t>
  </si>
  <si>
    <t>Kumanda Tipi/ Kontrol ünitesi</t>
  </si>
  <si>
    <t>Control Type / Control Unit</t>
  </si>
  <si>
    <t>Analog</t>
  </si>
  <si>
    <t>Gösterge tipi</t>
  </si>
  <si>
    <t>Display Type</t>
  </si>
  <si>
    <t>Digital</t>
  </si>
  <si>
    <t>PLC</t>
  </si>
  <si>
    <t>HMI ( TOUCH SCREEN)</t>
  </si>
  <si>
    <r>
      <rPr>
        <b/>
        <sz val="16"/>
        <color rgb="FF00B050"/>
        <rFont val="Aptos Narrow"/>
        <family val="2"/>
        <scheme val="minor"/>
      </rPr>
      <t xml:space="preserve">✓ </t>
    </r>
    <r>
      <rPr>
        <b/>
        <sz val="16"/>
        <color theme="1"/>
        <rFont val="Aptos Narrow"/>
        <family val="2"/>
        <scheme val="minor"/>
      </rPr>
      <t xml:space="preserve">/ </t>
    </r>
    <r>
      <rPr>
        <b/>
        <sz val="16"/>
        <color rgb="FFC00000"/>
        <rFont val="Aptos Narrow"/>
        <family val="2"/>
        <scheme val="minor"/>
      </rPr>
      <t>–</t>
    </r>
  </si>
  <si>
    <t>“The technical specifications may change depending on the selected optional equipment.”</t>
  </si>
  <si>
    <t>YIKAMA Pompası Gücü</t>
  </si>
  <si>
    <t>Durulama Pompası Gücü</t>
  </si>
  <si>
    <t>Rinisng Pump Power</t>
  </si>
  <si>
    <t xml:space="preserve">Tankların Toplam Isıtıcı Gücü </t>
  </si>
  <si>
    <t xml:space="preserve">KurutmaNIN Isıtıcı gücü </t>
  </si>
  <si>
    <t>Heaters Power of Drying Unit</t>
  </si>
  <si>
    <t xml:space="preserve">Nominal  Güç </t>
  </si>
  <si>
    <t xml:space="preserve">Nominal Power </t>
  </si>
  <si>
    <t xml:space="preserve">Egzost FAN </t>
  </si>
  <si>
    <t>Vupor Fan</t>
  </si>
  <si>
    <t>Sepet Redüktör Motor Gücü</t>
  </si>
  <si>
    <t>Basket Gearbox Engine Power</t>
  </si>
  <si>
    <t>2-3</t>
  </si>
  <si>
    <t>POWER OF MANUEL  PUMP MOTOR</t>
  </si>
  <si>
    <t>Heater Type</t>
  </si>
  <si>
    <t>Heater Power of Tanks</t>
  </si>
  <si>
    <t xml:space="preserve">Nominal Power                                  </t>
  </si>
  <si>
    <t>Heater Power of Tank</t>
  </si>
  <si>
    <t>Dryer Fan Power</t>
  </si>
  <si>
    <t xml:space="preserve">Nominal Güç </t>
  </si>
  <si>
    <t>Nominal Power</t>
  </si>
  <si>
    <t>Egzost Fan</t>
  </si>
  <si>
    <t>Tambur Redüktör Motor Gücü</t>
  </si>
  <si>
    <t>Kurutma Isıtıcı  Gücü</t>
  </si>
  <si>
    <t>Tank Isıtıcı Gücü</t>
  </si>
  <si>
    <t>Vupor Fan Power</t>
  </si>
  <si>
    <t>Drum Gearbox Engine Power</t>
  </si>
  <si>
    <t>Nominal Güç</t>
  </si>
  <si>
    <t>VDL 3   Tambur Tip (  Helezyon Spiralli ) / Drum Type ( Internal Scroll )                                                                       3 Banyolu ( Yıkama-Durulama-Kurutma) / 3 Tank ( Washing-Rinsing-Drying )</t>
  </si>
  <si>
    <t>Blower Power</t>
  </si>
  <si>
    <t>6000*1500*1750</t>
  </si>
  <si>
    <t>6000*1800*1750</t>
  </si>
  <si>
    <t>7500*1500*1750</t>
  </si>
  <si>
    <t>7500*1800*1750</t>
  </si>
  <si>
    <t>kg/m2</t>
  </si>
  <si>
    <t>Tank 1 Kapasitesi</t>
  </si>
  <si>
    <t>Tank 1 Capacity</t>
  </si>
  <si>
    <t>Tank 2 Kapasitesi</t>
  </si>
  <si>
    <t>Tank 2 Capacity</t>
  </si>
  <si>
    <t>Tank 3 Kapasitesi</t>
  </si>
  <si>
    <t>Pompa 1 Gücü</t>
  </si>
  <si>
    <t>Pump 1  Power</t>
  </si>
  <si>
    <t>Pompa  2 Gücü</t>
  </si>
  <si>
    <t>Pompa 3 Gücü</t>
  </si>
  <si>
    <t>Pump 2 Power</t>
  </si>
  <si>
    <t>Pump 3  Power</t>
  </si>
  <si>
    <t>Tank Heating Power (Wash)</t>
  </si>
  <si>
    <t>Tank Heating Power (Rinse-1)</t>
  </si>
  <si>
    <t>Tank Heating Power (Rinse-2)</t>
  </si>
  <si>
    <t>Skraper Power</t>
  </si>
  <si>
    <t>Su Sıyırıcı Motor Gücü</t>
  </si>
  <si>
    <t xml:space="preserve"> Dryer Heating Power </t>
  </si>
  <si>
    <t>Tank 3 Capacity</t>
  </si>
  <si>
    <t>Pressure Pump Power</t>
  </si>
  <si>
    <t>Basınçlı Pompa Gücü</t>
  </si>
  <si>
    <t>Filitre Pompası</t>
  </si>
  <si>
    <t>Filter Pump Power</t>
  </si>
  <si>
    <t xml:space="preserve">  Electrical Resistance</t>
  </si>
  <si>
    <t xml:space="preserve">KBN 1B  Kabin Tip / Cabinet Type                                               Tek Banyolu / Single-Tank </t>
  </si>
  <si>
    <r>
      <rPr>
        <b/>
        <sz val="10"/>
        <color rgb="FF00B050"/>
        <rFont val="Aptos Narrow"/>
        <family val="2"/>
        <scheme val="minor"/>
      </rPr>
      <t xml:space="preserve">✓ </t>
    </r>
    <r>
      <rPr>
        <b/>
        <sz val="10"/>
        <color theme="1"/>
        <rFont val="Aptos Narrow"/>
        <family val="2"/>
        <scheme val="minor"/>
      </rPr>
      <t xml:space="preserve">/ </t>
    </r>
    <r>
      <rPr>
        <b/>
        <sz val="10"/>
        <color rgb="FFC00000"/>
        <rFont val="Aptos Narrow"/>
        <family val="2"/>
        <scheme val="minor"/>
      </rPr>
      <t>–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</si>
</sst>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407]"/>
  </numFmts>
  <fonts count="58" x14ac:knownFonts="1">
    <font>
      <sz val="11"/>
      <color theme="1"/>
      <name val="Aptos Narrow"/>
      <family val="2"/>
      <charset val="162"/>
      <scheme val="minor"/>
    </font>
    <font>
      <sz val="8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11"/>
      <color theme="1"/>
      <name val="Calibri"/>
      <family val="2"/>
      <charset val="162"/>
    </font>
    <font>
      <sz val="8"/>
      <color theme="1"/>
      <name val="Calibri"/>
      <family val="2"/>
      <charset val="162"/>
    </font>
    <font>
      <sz val="9"/>
      <color theme="1"/>
      <name val="Calibri"/>
      <family val="2"/>
      <charset val="162"/>
    </font>
    <font>
      <sz val="10"/>
      <color theme="1"/>
      <name val="Calibri"/>
      <family val="2"/>
      <charset val="162"/>
    </font>
    <font>
      <sz val="11"/>
      <name val="Calibri"/>
      <family val="2"/>
      <charset val="162"/>
    </font>
    <font>
      <sz val="7"/>
      <color theme="1"/>
      <name val="Calibri"/>
      <family val="2"/>
      <charset val="162"/>
    </font>
    <font>
      <b/>
      <sz val="10"/>
      <color theme="1"/>
      <name val="Calibri"/>
      <family val="2"/>
      <charset val="162"/>
    </font>
    <font>
      <sz val="9"/>
      <name val="Calibri"/>
      <family val="2"/>
      <charset val="162"/>
    </font>
    <font>
      <sz val="10"/>
      <name val="Calibri"/>
      <family val="2"/>
      <charset val="162"/>
    </font>
    <font>
      <sz val="11"/>
      <color theme="0"/>
      <name val="Calibri"/>
      <family val="2"/>
      <charset val="162"/>
    </font>
    <font>
      <b/>
      <sz val="11"/>
      <name val="Calibri"/>
      <family val="2"/>
      <charset val="162"/>
    </font>
    <font>
      <b/>
      <sz val="11"/>
      <color theme="1"/>
      <name val="Calibri"/>
      <family val="2"/>
      <charset val="162"/>
    </font>
    <font>
      <b/>
      <sz val="14"/>
      <color theme="1"/>
      <name val="Calibri"/>
      <family val="2"/>
      <charset val="162"/>
    </font>
    <font>
      <sz val="10"/>
      <color theme="1"/>
      <name val="Aptos Narrow"/>
      <family val="2"/>
      <charset val="162"/>
      <scheme val="minor"/>
    </font>
    <font>
      <sz val="14"/>
      <name val="Calibri"/>
      <family val="2"/>
      <charset val="162"/>
    </font>
    <font>
      <b/>
      <sz val="16"/>
      <color theme="0"/>
      <name val="Calibri"/>
      <family val="2"/>
      <charset val="162"/>
    </font>
    <font>
      <b/>
      <sz val="14"/>
      <name val="Calibri"/>
      <family val="2"/>
      <charset val="162"/>
    </font>
    <font>
      <sz val="16"/>
      <name val="Calibri"/>
      <family val="2"/>
      <charset val="162"/>
    </font>
    <font>
      <b/>
      <sz val="12"/>
      <color theme="0"/>
      <name val="Calibri"/>
      <family val="2"/>
      <charset val="162"/>
    </font>
    <font>
      <b/>
      <sz val="14"/>
      <color theme="0"/>
      <name val="Calibri"/>
      <family val="2"/>
      <charset val="162"/>
    </font>
    <font>
      <b/>
      <sz val="11"/>
      <color theme="0"/>
      <name val="Calibri"/>
      <family val="2"/>
      <charset val="162"/>
    </font>
    <font>
      <b/>
      <sz val="18"/>
      <color theme="0"/>
      <name val="Calibri"/>
      <family val="2"/>
      <charset val="162"/>
    </font>
    <font>
      <sz val="12"/>
      <color theme="1"/>
      <name val="Calibri"/>
      <family val="2"/>
      <charset val="162"/>
    </font>
    <font>
      <b/>
      <sz val="10"/>
      <color theme="0"/>
      <name val="Calibri"/>
      <family val="2"/>
      <charset val="162"/>
    </font>
    <font>
      <b/>
      <sz val="20"/>
      <color theme="0"/>
      <name val="Calibri"/>
      <family val="2"/>
      <charset val="162"/>
    </font>
    <font>
      <b/>
      <sz val="22"/>
      <color theme="0"/>
      <name val="Calibri"/>
      <family val="2"/>
      <charset val="162"/>
    </font>
    <font>
      <b/>
      <sz val="18"/>
      <color theme="1"/>
      <name val="Calibri"/>
      <family val="2"/>
      <charset val="162"/>
    </font>
    <font>
      <sz val="9"/>
      <color rgb="FF000000"/>
      <name val="Calibri"/>
      <family val="2"/>
      <charset val="162"/>
    </font>
    <font>
      <b/>
      <sz val="22"/>
      <color theme="1"/>
      <name val="Aptos Narrow"/>
      <family val="2"/>
      <scheme val="minor"/>
    </font>
    <font>
      <sz val="14"/>
      <color theme="1"/>
      <name val="Calibri"/>
      <family val="2"/>
      <charset val="162"/>
    </font>
    <font>
      <sz val="16"/>
      <color theme="1"/>
      <name val="Calibri"/>
      <family val="2"/>
      <charset val="162"/>
    </font>
    <font>
      <b/>
      <sz val="16"/>
      <color theme="1"/>
      <name val="Calibri"/>
      <family val="2"/>
      <charset val="162"/>
    </font>
    <font>
      <b/>
      <sz val="22"/>
      <color theme="1"/>
      <name val="Calibri"/>
      <family val="2"/>
      <charset val="162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Calibri"/>
      <family val="2"/>
      <charset val="162"/>
    </font>
    <font>
      <b/>
      <sz val="11"/>
      <color rgb="FFFF0000"/>
      <name val="Calibri"/>
      <family val="2"/>
      <charset val="162"/>
    </font>
    <font>
      <b/>
      <sz val="16"/>
      <name val="Calibri"/>
      <family val="2"/>
      <charset val="162"/>
    </font>
    <font>
      <b/>
      <sz val="11"/>
      <color theme="1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20"/>
      <color rgb="FFC00000"/>
      <name val="Calibri"/>
      <family val="2"/>
      <charset val="162"/>
    </font>
    <font>
      <b/>
      <sz val="20"/>
      <color rgb="FF00B050"/>
      <name val="Calibri"/>
      <family val="2"/>
      <charset val="162"/>
    </font>
    <font>
      <b/>
      <sz val="16"/>
      <color theme="1"/>
      <name val="Aptos Narrow"/>
      <family val="2"/>
      <scheme val="minor"/>
    </font>
    <font>
      <b/>
      <sz val="16"/>
      <color rgb="FF00B050"/>
      <name val="Aptos Narrow"/>
      <family val="2"/>
      <scheme val="minor"/>
    </font>
    <font>
      <b/>
      <sz val="16"/>
      <color rgb="FFC00000"/>
      <name val="Aptos Narrow"/>
      <family val="2"/>
      <scheme val="minor"/>
    </font>
    <font>
      <sz val="8"/>
      <name val="Aptos Narrow"/>
      <family val="2"/>
      <charset val="162"/>
      <scheme val="minor"/>
    </font>
    <font>
      <b/>
      <sz val="10"/>
      <name val="Calibri"/>
      <family val="2"/>
      <charset val="162"/>
    </font>
    <font>
      <b/>
      <sz val="10"/>
      <color theme="1"/>
      <name val="Aptos Narrow"/>
      <family val="2"/>
      <scheme val="minor"/>
    </font>
    <font>
      <sz val="11"/>
      <color rgb="FF000000"/>
      <name val="Calibri"/>
      <family val="2"/>
      <charset val="162"/>
    </font>
    <font>
      <b/>
      <sz val="10"/>
      <color rgb="FF00B050"/>
      <name val="Aptos Narrow"/>
      <family val="2"/>
      <scheme val="minor"/>
    </font>
    <font>
      <b/>
      <sz val="10"/>
      <color rgb="FFC00000"/>
      <name val="Aptos Narrow"/>
      <family val="2"/>
      <scheme val="minor"/>
    </font>
    <font>
      <b/>
      <sz val="10"/>
      <color rgb="FF00B05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200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Alignment="1" applyProtection="1">
      <alignment horizontal="center" vertical="center"/>
      <protection locked="0"/>
    </xf>
    <xf numFmtId="164" fontId="5" fillId="2" borderId="1" xfId="0" applyNumberFormat="1" applyFont="1" applyFill="1" applyBorder="1" applyAlignment="1" applyProtection="1">
      <alignment horizontal="center" vertical="center"/>
      <protection locked="0"/>
    </xf>
    <xf numFmtId="164" fontId="5" fillId="2" borderId="0" xfId="0" applyNumberFormat="1" applyFont="1" applyFill="1" applyProtection="1">
      <protection locked="0"/>
    </xf>
    <xf numFmtId="0" fontId="4" fillId="2" borderId="0" xfId="0" applyFont="1" applyFill="1"/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164" fontId="5" fillId="2" borderId="0" xfId="0" applyNumberFormat="1" applyFont="1" applyFill="1" applyAlignment="1" applyProtection="1">
      <alignment horizontal="center"/>
      <protection locked="0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1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11" fillId="2" borderId="1" xfId="0" applyNumberFormat="1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164" fontId="18" fillId="2" borderId="4" xfId="0" applyNumberFormat="1" applyFont="1" applyFill="1" applyBorder="1" applyAlignment="1">
      <alignment horizontal="center" vertical="center"/>
    </xf>
    <xf numFmtId="164" fontId="18" fillId="2" borderId="1" xfId="0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wrapText="1"/>
    </xf>
    <xf numFmtId="164" fontId="1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vertical="center"/>
    </xf>
    <xf numFmtId="0" fontId="24" fillId="3" borderId="1" xfId="0" applyFont="1" applyFill="1" applyBorder="1" applyAlignment="1">
      <alignment vertical="center"/>
    </xf>
    <xf numFmtId="0" fontId="26" fillId="0" borderId="1" xfId="0" applyFont="1" applyBorder="1" applyAlignment="1">
      <alignment horizontal="left" vertical="center"/>
    </xf>
    <xf numFmtId="0" fontId="13" fillId="3" borderId="5" xfId="0" applyFont="1" applyFill="1" applyBorder="1" applyAlignment="1">
      <alignment vertical="center"/>
    </xf>
    <xf numFmtId="0" fontId="4" fillId="0" borderId="1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horizontal="left" vertical="center" wrapText="1"/>
    </xf>
    <xf numFmtId="0" fontId="15" fillId="0" borderId="0" xfId="0" applyFont="1"/>
    <xf numFmtId="164" fontId="20" fillId="2" borderId="1" xfId="0" applyNumberFormat="1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49" fontId="34" fillId="0" borderId="1" xfId="0" applyNumberFormat="1" applyFont="1" applyBorder="1" applyAlignment="1">
      <alignment horizontal="center" vertical="center"/>
    </xf>
    <xf numFmtId="164" fontId="34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164" fontId="26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4" fontId="42" fillId="2" borderId="1" xfId="0" applyNumberFormat="1" applyFont="1" applyFill="1" applyBorder="1" applyAlignment="1">
      <alignment horizontal="center" vertical="center"/>
    </xf>
    <xf numFmtId="0" fontId="4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41" fillId="0" borderId="0" xfId="0" applyFont="1"/>
    <xf numFmtId="0" fontId="22" fillId="3" borderId="1" xfId="0" applyFont="1" applyFill="1" applyBorder="1" applyAlignment="1">
      <alignment vertical="center"/>
    </xf>
    <xf numFmtId="0" fontId="22" fillId="3" borderId="1" xfId="0" applyFont="1" applyFill="1" applyBorder="1" applyAlignment="1">
      <alignment horizontal="left" vertical="center"/>
    </xf>
    <xf numFmtId="0" fontId="27" fillId="3" borderId="1" xfId="0" applyFont="1" applyFill="1" applyBorder="1" applyAlignment="1">
      <alignment vertical="center"/>
    </xf>
    <xf numFmtId="164" fontId="14" fillId="2" borderId="1" xfId="0" applyNumberFormat="1" applyFont="1" applyFill="1" applyBorder="1" applyAlignment="1" applyProtection="1">
      <alignment horizontal="center" vertical="center"/>
      <protection locked="0"/>
    </xf>
    <xf numFmtId="0" fontId="10" fillId="0" borderId="4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center" vertical="center"/>
    </xf>
    <xf numFmtId="164" fontId="41" fillId="6" borderId="1" xfId="0" applyNumberFormat="1" applyFont="1" applyFill="1" applyBorder="1" applyAlignment="1" applyProtection="1">
      <alignment horizontal="center" vertical="center"/>
      <protection locked="0"/>
    </xf>
    <xf numFmtId="0" fontId="46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48" fillId="0" borderId="4" xfId="0" applyFont="1" applyBorder="1" applyAlignment="1">
      <alignment horizontal="center" vertical="center"/>
    </xf>
    <xf numFmtId="0" fontId="22" fillId="3" borderId="16" xfId="0" applyFont="1" applyFill="1" applyBorder="1" applyAlignment="1">
      <alignment horizontal="center" vertical="center"/>
    </xf>
    <xf numFmtId="0" fontId="48" fillId="0" borderId="0" xfId="0" applyFont="1" applyAlignment="1">
      <alignment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" fontId="23" fillId="3" borderId="0" xfId="0" applyNumberFormat="1" applyFont="1" applyFill="1" applyAlignment="1">
      <alignment horizontal="left" vertical="center" wrapText="1"/>
    </xf>
    <xf numFmtId="1" fontId="23" fillId="3" borderId="10" xfId="0" applyNumberFormat="1" applyFont="1" applyFill="1" applyBorder="1" applyAlignment="1">
      <alignment horizontal="left" vertical="center" wrapText="1"/>
    </xf>
    <xf numFmtId="1" fontId="23" fillId="3" borderId="2" xfId="0" applyNumberFormat="1" applyFont="1" applyFill="1" applyBorder="1" applyAlignment="1">
      <alignment horizontal="left" vertical="center" wrapText="1"/>
    </xf>
    <xf numFmtId="1" fontId="23" fillId="3" borderId="6" xfId="0" applyNumberFormat="1" applyFont="1" applyFill="1" applyBorder="1" applyAlignment="1">
      <alignment horizontal="left" vertical="center" wrapText="1"/>
    </xf>
    <xf numFmtId="0" fontId="25" fillId="3" borderId="0" xfId="0" applyFont="1" applyFill="1" applyAlignment="1">
      <alignment horizontal="left" vertical="center" wrapText="1"/>
    </xf>
    <xf numFmtId="0" fontId="25" fillId="3" borderId="10" xfId="0" applyFont="1" applyFill="1" applyBorder="1" applyAlignment="1">
      <alignment horizontal="left" vertical="center" wrapText="1"/>
    </xf>
    <xf numFmtId="0" fontId="25" fillId="3" borderId="2" xfId="0" applyFont="1" applyFill="1" applyBorder="1" applyAlignment="1">
      <alignment horizontal="left" vertical="center" wrapText="1"/>
    </xf>
    <xf numFmtId="0" fontId="25" fillId="3" borderId="6" xfId="0" applyFont="1" applyFill="1" applyBorder="1" applyAlignment="1">
      <alignment horizontal="left" vertical="center" wrapText="1"/>
    </xf>
    <xf numFmtId="164" fontId="36" fillId="2" borderId="5" xfId="0" applyNumberFormat="1" applyFont="1" applyFill="1" applyBorder="1" applyAlignment="1" applyProtection="1">
      <alignment horizontal="center" vertical="center"/>
      <protection locked="0"/>
    </xf>
    <xf numFmtId="164" fontId="36" fillId="2" borderId="3" xfId="0" applyNumberFormat="1" applyFont="1" applyFill="1" applyBorder="1" applyAlignment="1" applyProtection="1">
      <alignment horizontal="center" vertical="center"/>
      <protection locked="0"/>
    </xf>
    <xf numFmtId="164" fontId="36" fillId="2" borderId="4" xfId="0" applyNumberFormat="1" applyFont="1" applyFill="1" applyBorder="1" applyAlignment="1" applyProtection="1">
      <alignment horizontal="center" vertical="center"/>
      <protection locked="0"/>
    </xf>
    <xf numFmtId="0" fontId="22" fillId="3" borderId="5" xfId="0" applyFont="1" applyFill="1" applyBorder="1" applyAlignment="1">
      <alignment horizontal="left" vertical="center" wrapText="1"/>
    </xf>
    <xf numFmtId="0" fontId="22" fillId="3" borderId="3" xfId="0" applyFont="1" applyFill="1" applyBorder="1" applyAlignment="1">
      <alignment horizontal="left" vertical="center" wrapText="1"/>
    </xf>
    <xf numFmtId="0" fontId="22" fillId="3" borderId="4" xfId="0" applyFont="1" applyFill="1" applyBorder="1" applyAlignment="1">
      <alignment horizontal="left" vertical="center" wrapText="1"/>
    </xf>
    <xf numFmtId="0" fontId="27" fillId="3" borderId="5" xfId="0" applyFont="1" applyFill="1" applyBorder="1" applyAlignment="1">
      <alignment horizontal="left" vertical="center" wrapText="1"/>
    </xf>
    <xf numFmtId="0" fontId="27" fillId="3" borderId="3" xfId="0" applyFont="1" applyFill="1" applyBorder="1" applyAlignment="1">
      <alignment horizontal="left" vertical="center" wrapText="1"/>
    </xf>
    <xf numFmtId="0" fontId="27" fillId="3" borderId="4" xfId="0" applyFont="1" applyFill="1" applyBorder="1" applyAlignment="1">
      <alignment horizontal="left" vertical="center" wrapText="1"/>
    </xf>
    <xf numFmtId="0" fontId="23" fillId="3" borderId="5" xfId="0" applyFont="1" applyFill="1" applyBorder="1" applyAlignment="1">
      <alignment horizontal="left" vertical="center" wrapText="1"/>
    </xf>
    <xf numFmtId="0" fontId="23" fillId="3" borderId="3" xfId="0" applyFont="1" applyFill="1" applyBorder="1" applyAlignment="1">
      <alignment horizontal="left" vertical="center" wrapText="1"/>
    </xf>
    <xf numFmtId="0" fontId="23" fillId="3" borderId="4" xfId="0" applyFont="1" applyFill="1" applyBorder="1" applyAlignment="1">
      <alignment horizontal="left" vertical="center" wrapText="1"/>
    </xf>
    <xf numFmtId="0" fontId="39" fillId="0" borderId="5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164" fontId="32" fillId="2" borderId="5" xfId="0" applyNumberFormat="1" applyFont="1" applyFill="1" applyBorder="1" applyAlignment="1" applyProtection="1">
      <alignment horizontal="center" vertical="center"/>
      <protection locked="0"/>
    </xf>
    <xf numFmtId="164" fontId="32" fillId="2" borderId="4" xfId="0" applyNumberFormat="1" applyFont="1" applyFill="1" applyBorder="1" applyAlignment="1" applyProtection="1">
      <alignment horizontal="center" vertical="center"/>
      <protection locked="0"/>
    </xf>
    <xf numFmtId="0" fontId="23" fillId="3" borderId="11" xfId="0" applyFont="1" applyFill="1" applyBorder="1" applyAlignment="1">
      <alignment horizontal="left" vertical="center" wrapText="1"/>
    </xf>
    <xf numFmtId="0" fontId="23" fillId="3" borderId="12" xfId="0" applyFont="1" applyFill="1" applyBorder="1" applyAlignment="1">
      <alignment horizontal="left" vertical="center" wrapText="1"/>
    </xf>
    <xf numFmtId="0" fontId="23" fillId="3" borderId="9" xfId="0" applyFont="1" applyFill="1" applyBorder="1" applyAlignment="1">
      <alignment horizontal="left" vertical="center" wrapText="1"/>
    </xf>
    <xf numFmtId="0" fontId="23" fillId="3" borderId="15" xfId="0" applyFont="1" applyFill="1" applyBorder="1" applyAlignment="1">
      <alignment horizontal="left" vertical="center" wrapText="1"/>
    </xf>
    <xf numFmtId="0" fontId="23" fillId="3" borderId="0" xfId="0" applyFont="1" applyFill="1" applyAlignment="1">
      <alignment horizontal="left" vertical="center" wrapText="1"/>
    </xf>
    <xf numFmtId="0" fontId="23" fillId="3" borderId="10" xfId="0" applyFont="1" applyFill="1" applyBorder="1" applyAlignment="1">
      <alignment horizontal="left" vertical="center" wrapText="1"/>
    </xf>
    <xf numFmtId="0" fontId="36" fillId="0" borderId="1" xfId="0" applyFont="1" applyBorder="1" applyAlignment="1">
      <alignment horizontal="center" vertical="center"/>
    </xf>
    <xf numFmtId="0" fontId="23" fillId="3" borderId="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22" fillId="3" borderId="1" xfId="0" applyFont="1" applyFill="1" applyBorder="1" applyAlignment="1">
      <alignment horizontal="left" vertical="center" wrapText="1"/>
    </xf>
    <xf numFmtId="0" fontId="25" fillId="3" borderId="1" xfId="0" applyFont="1" applyFill="1" applyBorder="1" applyAlignment="1">
      <alignment horizontal="left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 applyProtection="1">
      <alignment vertical="center"/>
      <protection locked="0"/>
    </xf>
    <xf numFmtId="0" fontId="4" fillId="2" borderId="0" xfId="0" applyFont="1" applyFill="1" applyAlignment="1">
      <alignment vertical="center"/>
    </xf>
    <xf numFmtId="164" fontId="52" fillId="2" borderId="1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Alignment="1" applyProtection="1">
      <alignment vertical="center"/>
      <protection locked="0"/>
    </xf>
    <xf numFmtId="0" fontId="7" fillId="2" borderId="0" xfId="0" applyFont="1" applyFill="1" applyAlignment="1">
      <alignment vertical="center"/>
    </xf>
    <xf numFmtId="0" fontId="27" fillId="3" borderId="1" xfId="0" applyFont="1" applyFill="1" applyBorder="1" applyAlignment="1">
      <alignment horizontal="left" vertical="center"/>
    </xf>
    <xf numFmtId="0" fontId="27" fillId="3" borderId="16" xfId="0" applyFont="1" applyFill="1" applyBorder="1" applyAlignment="1">
      <alignment horizontal="center" vertical="center"/>
    </xf>
    <xf numFmtId="164" fontId="7" fillId="2" borderId="0" xfId="0" applyNumberFormat="1" applyFont="1" applyFill="1" applyAlignment="1" applyProtection="1">
      <alignment horizontal="center" vertical="center"/>
      <protection locked="0"/>
    </xf>
    <xf numFmtId="0" fontId="7" fillId="0" borderId="0" xfId="0" applyFont="1" applyAlignment="1">
      <alignment vertical="center"/>
    </xf>
    <xf numFmtId="0" fontId="12" fillId="0" borderId="1" xfId="0" applyFont="1" applyBorder="1" applyAlignment="1">
      <alignment horizontal="left" vertical="center" wrapText="1"/>
    </xf>
    <xf numFmtId="0" fontId="53" fillId="0" borderId="0" xfId="0" applyFont="1" applyAlignment="1">
      <alignment vertical="center"/>
    </xf>
    <xf numFmtId="0" fontId="9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/>
    </xf>
    <xf numFmtId="0" fontId="15" fillId="2" borderId="1" xfId="0" applyFont="1" applyFill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/>
    </xf>
    <xf numFmtId="0" fontId="27" fillId="3" borderId="11" xfId="0" applyFont="1" applyFill="1" applyBorder="1" applyAlignment="1">
      <alignment horizontal="left" vertical="center" wrapText="1"/>
    </xf>
    <xf numFmtId="0" fontId="27" fillId="3" borderId="12" xfId="0" applyFont="1" applyFill="1" applyBorder="1" applyAlignment="1">
      <alignment horizontal="left" vertical="center" wrapText="1"/>
    </xf>
    <xf numFmtId="0" fontId="27" fillId="3" borderId="9" xfId="0" applyFont="1" applyFill="1" applyBorder="1" applyAlignment="1">
      <alignment horizontal="left" vertical="center" wrapText="1"/>
    </xf>
    <xf numFmtId="164" fontId="52" fillId="0" borderId="1" xfId="0" applyNumberFormat="1" applyFont="1" applyBorder="1" applyAlignment="1" applyProtection="1">
      <alignment horizontal="center" vertical="center"/>
      <protection locked="0"/>
    </xf>
    <xf numFmtId="164" fontId="52" fillId="7" borderId="1" xfId="0" applyNumberFormat="1" applyFont="1" applyFill="1" applyBorder="1" applyAlignment="1" applyProtection="1">
      <alignment horizontal="center" vertical="center"/>
      <protection locked="0"/>
    </xf>
    <xf numFmtId="0" fontId="52" fillId="0" borderId="0" xfId="0" applyFont="1" applyAlignment="1">
      <alignment horizontal="center" vertical="center"/>
    </xf>
    <xf numFmtId="0" fontId="27" fillId="3" borderId="8" xfId="0" applyFont="1" applyFill="1" applyBorder="1" applyAlignment="1">
      <alignment horizontal="left" vertical="center" wrapText="1"/>
    </xf>
    <xf numFmtId="0" fontId="27" fillId="3" borderId="2" xfId="0" applyFont="1" applyFill="1" applyBorder="1" applyAlignment="1">
      <alignment horizontal="left" vertical="center" wrapText="1"/>
    </xf>
    <xf numFmtId="0" fontId="27" fillId="3" borderId="6" xfId="0" applyFont="1" applyFill="1" applyBorder="1" applyAlignment="1">
      <alignment horizontal="left" vertical="center" wrapText="1"/>
    </xf>
    <xf numFmtId="164" fontId="52" fillId="2" borderId="1" xfId="0" applyNumberFormat="1" applyFont="1" applyFill="1" applyBorder="1" applyAlignment="1">
      <alignment horizontal="center" vertical="center" wrapText="1"/>
    </xf>
    <xf numFmtId="164" fontId="52" fillId="7" borderId="1" xfId="0" applyNumberFormat="1" applyFont="1" applyFill="1" applyBorder="1" applyAlignment="1">
      <alignment horizontal="center" vertical="center" wrapText="1"/>
    </xf>
    <xf numFmtId="164" fontId="52" fillId="0" borderId="4" xfId="0" applyNumberFormat="1" applyFont="1" applyBorder="1" applyAlignment="1">
      <alignment horizontal="center" vertical="center" wrapText="1"/>
    </xf>
    <xf numFmtId="164" fontId="52" fillId="0" borderId="1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164" fontId="12" fillId="7" borderId="1" xfId="0" applyNumberFormat="1" applyFont="1" applyFill="1" applyBorder="1" applyAlignment="1">
      <alignment horizontal="center" vertical="center" wrapText="1"/>
    </xf>
    <xf numFmtId="164" fontId="12" fillId="0" borderId="4" xfId="0" applyNumberFormat="1" applyFont="1" applyBorder="1" applyAlignment="1">
      <alignment horizontal="center" vertical="center" wrapText="1"/>
    </xf>
    <xf numFmtId="0" fontId="12" fillId="0" borderId="0" xfId="0" applyFont="1"/>
    <xf numFmtId="0" fontId="5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left" vertical="center"/>
    </xf>
    <xf numFmtId="49" fontId="12" fillId="0" borderId="1" xfId="0" applyNumberFormat="1" applyFont="1" applyBorder="1" applyAlignment="1">
      <alignment horizontal="left" vertical="center" wrapText="1"/>
    </xf>
    <xf numFmtId="49" fontId="52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7" borderId="1" xfId="0" applyNumberFormat="1" applyFont="1" applyFill="1" applyBorder="1" applyAlignment="1">
      <alignment horizontal="center" vertical="center"/>
    </xf>
    <xf numFmtId="49" fontId="12" fillId="0" borderId="0" xfId="0" applyNumberFormat="1" applyFont="1"/>
    <xf numFmtId="0" fontId="12" fillId="0" borderId="1" xfId="0" applyFont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53" fillId="0" borderId="4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57" fillId="7" borderId="1" xfId="0" applyFont="1" applyFill="1" applyBorder="1" applyAlignment="1">
      <alignment horizontal="center" vertical="center"/>
    </xf>
    <xf numFmtId="0" fontId="52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52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0" fontId="5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F8FF"/>
      <color rgb="FFE2E2E2"/>
      <color rgb="FF82EEF6"/>
      <color rgb="FFC1FFFF"/>
      <color rgb="FFDFF4FD"/>
      <color rgb="FFADE3F9"/>
      <color rgb="FFFF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1875975</xdr:colOff>
      <xdr:row>2</xdr:row>
      <xdr:rowOff>248559</xdr:rowOff>
    </xdr:from>
    <xdr:ext cx="518882" cy="252183"/>
    <xdr:sp macro="" textlink="">
      <xdr:nvSpPr>
        <xdr:cNvPr id="5" name="Metin kutusu 4">
          <a:extLst>
            <a:ext uri="{FF2B5EF4-FFF2-40B4-BE49-F238E27FC236}">
              <a16:creationId xmlns:a16="http://schemas.microsoft.com/office/drawing/2014/main" id="{A7D04D63-BE12-ADB0-9BAB-88568031764C}"/>
            </a:ext>
          </a:extLst>
        </xdr:cNvPr>
        <xdr:cNvSpPr txBox="1"/>
      </xdr:nvSpPr>
      <xdr:spPr>
        <a:xfrm>
          <a:off x="3748318" y="1103088"/>
          <a:ext cx="518882" cy="2521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1400" b="1">
              <a:solidFill>
                <a:schemeClr val="bg1"/>
              </a:solidFill>
            </a:rPr>
            <a:t>Unit</a:t>
          </a:r>
        </a:p>
      </xdr:txBody>
    </xdr:sp>
    <xdr:clientData/>
  </xdr:oneCellAnchor>
  <xdr:oneCellAnchor>
    <xdr:from>
      <xdr:col>2</xdr:col>
      <xdr:colOff>328840</xdr:colOff>
      <xdr:row>1</xdr:row>
      <xdr:rowOff>397480</xdr:rowOff>
    </xdr:from>
    <xdr:ext cx="725714" cy="463852"/>
    <xdr:sp macro="" textlink="">
      <xdr:nvSpPr>
        <xdr:cNvPr id="6" name="Metin kutusu 5">
          <a:extLst>
            <a:ext uri="{FF2B5EF4-FFF2-40B4-BE49-F238E27FC236}">
              <a16:creationId xmlns:a16="http://schemas.microsoft.com/office/drawing/2014/main" id="{1F290C58-2C20-4313-B938-AA97941F081E}"/>
            </a:ext>
          </a:extLst>
        </xdr:cNvPr>
        <xdr:cNvSpPr txBox="1"/>
      </xdr:nvSpPr>
      <xdr:spPr>
        <a:xfrm>
          <a:off x="4100740" y="816580"/>
          <a:ext cx="725714" cy="4638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1050" b="1">
              <a:solidFill>
                <a:schemeClr val="bg1">
                  <a:lumMod val="95000"/>
                </a:schemeClr>
              </a:solidFill>
            </a:rPr>
            <a:t>Stock</a:t>
          </a:r>
          <a:r>
            <a:rPr lang="tr-TR" sz="1050" b="1" baseline="0">
              <a:solidFill>
                <a:schemeClr val="bg1">
                  <a:lumMod val="95000"/>
                </a:schemeClr>
              </a:solidFill>
            </a:rPr>
            <a:t> </a:t>
          </a:r>
          <a:r>
            <a:rPr lang="tr-TR" sz="1050" b="1">
              <a:solidFill>
                <a:schemeClr val="bg1">
                  <a:lumMod val="95000"/>
                </a:schemeClr>
              </a:solidFill>
            </a:rPr>
            <a:t>Code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411480</xdr:colOff>
      <xdr:row>1</xdr:row>
      <xdr:rowOff>533399</xdr:rowOff>
    </xdr:from>
    <xdr:ext cx="624840" cy="518161"/>
    <xdr:sp macro="" textlink="">
      <xdr:nvSpPr>
        <xdr:cNvPr id="3" name="Metin kutusu 2">
          <a:extLst>
            <a:ext uri="{FF2B5EF4-FFF2-40B4-BE49-F238E27FC236}">
              <a16:creationId xmlns:a16="http://schemas.microsoft.com/office/drawing/2014/main" id="{979EE3BC-21E4-4D0B-AC36-CAB445D14BFF}"/>
            </a:ext>
          </a:extLst>
        </xdr:cNvPr>
        <xdr:cNvSpPr txBox="1"/>
      </xdr:nvSpPr>
      <xdr:spPr>
        <a:xfrm>
          <a:off x="6210300" y="1089659"/>
          <a:ext cx="624840" cy="5181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1050" b="1">
              <a:solidFill>
                <a:schemeClr val="bg1">
                  <a:lumMod val="95000"/>
                </a:schemeClr>
              </a:solidFill>
            </a:rPr>
            <a:t>Stock</a:t>
          </a:r>
          <a:r>
            <a:rPr lang="tr-TR" sz="1050" b="1" baseline="0">
              <a:solidFill>
                <a:schemeClr val="bg1">
                  <a:lumMod val="95000"/>
                </a:schemeClr>
              </a:solidFill>
            </a:rPr>
            <a:t> </a:t>
          </a:r>
          <a:r>
            <a:rPr lang="tr-TR" sz="1050" b="1">
              <a:solidFill>
                <a:schemeClr val="bg1">
                  <a:lumMod val="95000"/>
                </a:schemeClr>
              </a:solidFill>
            </a:rPr>
            <a:t>Code</a:t>
          </a:r>
        </a:p>
      </xdr:txBody>
    </xdr:sp>
    <xdr:clientData/>
  </xdr:oneCellAnchor>
  <xdr:oneCellAnchor>
    <xdr:from>
      <xdr:col>1</xdr:col>
      <xdr:colOff>2691314</xdr:colOff>
      <xdr:row>2</xdr:row>
      <xdr:rowOff>172359</xdr:rowOff>
    </xdr:from>
    <xdr:ext cx="585286" cy="307701"/>
    <xdr:sp macro="" textlink="">
      <xdr:nvSpPr>
        <xdr:cNvPr id="4" name="Metin kutusu 3">
          <a:extLst>
            <a:ext uri="{FF2B5EF4-FFF2-40B4-BE49-F238E27FC236}">
              <a16:creationId xmlns:a16="http://schemas.microsoft.com/office/drawing/2014/main" id="{3274BBC9-ABDD-42A2-9E88-934DE25921C2}"/>
            </a:ext>
          </a:extLst>
        </xdr:cNvPr>
        <xdr:cNvSpPr txBox="1"/>
      </xdr:nvSpPr>
      <xdr:spPr>
        <a:xfrm>
          <a:off x="5754554" y="1315359"/>
          <a:ext cx="585286" cy="3077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1600" b="1">
              <a:solidFill>
                <a:schemeClr val="bg1"/>
              </a:solidFill>
            </a:rPr>
            <a:t>Unit</a:t>
          </a:r>
        </a:p>
      </xdr:txBody>
    </xdr:sp>
    <xdr:clientData/>
  </xdr:oneCellAnchor>
  <xdr:twoCellAnchor editAs="oneCell">
    <xdr:from>
      <xdr:col>1</xdr:col>
      <xdr:colOff>0</xdr:colOff>
      <xdr:row>28</xdr:row>
      <xdr:rowOff>0</xdr:rowOff>
    </xdr:from>
    <xdr:to>
      <xdr:col>13</xdr:col>
      <xdr:colOff>124234</xdr:colOff>
      <xdr:row>57</xdr:row>
      <xdr:rowOff>29403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FDD8496E-2743-EA99-552B-C85C14AEC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00" y="10271125"/>
          <a:ext cx="13937020" cy="5934903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497840</xdr:colOff>
      <xdr:row>1</xdr:row>
      <xdr:rowOff>576579</xdr:rowOff>
    </xdr:from>
    <xdr:ext cx="624840" cy="518161"/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AFC78869-4938-4687-8C1A-9C403AD8AE0C}"/>
            </a:ext>
          </a:extLst>
        </xdr:cNvPr>
        <xdr:cNvSpPr txBox="1"/>
      </xdr:nvSpPr>
      <xdr:spPr>
        <a:xfrm>
          <a:off x="6060440" y="1135379"/>
          <a:ext cx="624840" cy="5181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1050" b="1">
              <a:solidFill>
                <a:schemeClr val="bg1">
                  <a:lumMod val="95000"/>
                </a:schemeClr>
              </a:solidFill>
            </a:rPr>
            <a:t>Stock</a:t>
          </a:r>
          <a:r>
            <a:rPr lang="tr-TR" sz="1050" b="1" baseline="0">
              <a:solidFill>
                <a:schemeClr val="bg1">
                  <a:lumMod val="95000"/>
                </a:schemeClr>
              </a:solidFill>
            </a:rPr>
            <a:t> </a:t>
          </a:r>
          <a:r>
            <a:rPr lang="tr-TR" sz="1050" b="1">
              <a:solidFill>
                <a:schemeClr val="bg1">
                  <a:lumMod val="95000"/>
                </a:schemeClr>
              </a:solidFill>
            </a:rPr>
            <a:t>Code</a:t>
          </a:r>
        </a:p>
      </xdr:txBody>
    </xdr:sp>
    <xdr:clientData/>
  </xdr:oneCellAnchor>
  <xdr:oneCellAnchor>
    <xdr:from>
      <xdr:col>2</xdr:col>
      <xdr:colOff>1455</xdr:colOff>
      <xdr:row>2</xdr:row>
      <xdr:rowOff>240939</xdr:rowOff>
    </xdr:from>
    <xdr:ext cx="518882" cy="252183"/>
    <xdr:sp macro="" textlink="">
      <xdr:nvSpPr>
        <xdr:cNvPr id="3" name="Metin kutusu 2">
          <a:extLst>
            <a:ext uri="{FF2B5EF4-FFF2-40B4-BE49-F238E27FC236}">
              <a16:creationId xmlns:a16="http://schemas.microsoft.com/office/drawing/2014/main" id="{BE234581-D628-45A5-967A-9542766E7E27}"/>
            </a:ext>
          </a:extLst>
        </xdr:cNvPr>
        <xdr:cNvSpPr txBox="1"/>
      </xdr:nvSpPr>
      <xdr:spPr>
        <a:xfrm>
          <a:off x="5564055" y="1399179"/>
          <a:ext cx="518882" cy="2521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1400" b="1">
              <a:solidFill>
                <a:schemeClr val="bg1"/>
              </a:solidFill>
            </a:rPr>
            <a:t>Unit</a:t>
          </a:r>
        </a:p>
      </xdr:txBody>
    </xdr:sp>
    <xdr:clientData/>
  </xdr:oneCellAnchor>
  <xdr:twoCellAnchor editAs="oneCell">
    <xdr:from>
      <xdr:col>0</xdr:col>
      <xdr:colOff>650875</xdr:colOff>
      <xdr:row>28</xdr:row>
      <xdr:rowOff>47625</xdr:rowOff>
    </xdr:from>
    <xdr:to>
      <xdr:col>7</xdr:col>
      <xdr:colOff>1332270</xdr:colOff>
      <xdr:row>59</xdr:row>
      <xdr:rowOff>77028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5920D9E7-CC13-BDF3-EE1D-B89983AFB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0875" y="9429750"/>
          <a:ext cx="13937020" cy="5934903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278554</xdr:colOff>
      <xdr:row>0</xdr:row>
      <xdr:rowOff>548639</xdr:rowOff>
    </xdr:from>
    <xdr:ext cx="432646" cy="340361"/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51C4F8A3-8A4F-421E-A907-1F7DF43541AB}"/>
            </a:ext>
          </a:extLst>
        </xdr:cNvPr>
        <xdr:cNvSpPr txBox="1"/>
      </xdr:nvSpPr>
      <xdr:spPr>
        <a:xfrm>
          <a:off x="4351021" y="548639"/>
          <a:ext cx="432646" cy="3403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700" b="1">
              <a:solidFill>
                <a:schemeClr val="bg1">
                  <a:lumMod val="95000"/>
                </a:schemeClr>
              </a:solidFill>
            </a:rPr>
            <a:t>Stock</a:t>
          </a:r>
          <a:r>
            <a:rPr lang="tr-TR" sz="700" b="1" baseline="0">
              <a:solidFill>
                <a:schemeClr val="bg1">
                  <a:lumMod val="95000"/>
                </a:schemeClr>
              </a:solidFill>
            </a:rPr>
            <a:t> </a:t>
          </a:r>
          <a:r>
            <a:rPr lang="tr-TR" sz="700" b="1">
              <a:solidFill>
                <a:schemeClr val="bg1">
                  <a:lumMod val="95000"/>
                </a:schemeClr>
              </a:solidFill>
            </a:rPr>
            <a:t>Code</a:t>
          </a:r>
        </a:p>
      </xdr:txBody>
    </xdr:sp>
    <xdr:clientData/>
  </xdr:oneCellAnchor>
  <xdr:oneCellAnchor>
    <xdr:from>
      <xdr:col>1</xdr:col>
      <xdr:colOff>2304627</xdr:colOff>
      <xdr:row>1</xdr:row>
      <xdr:rowOff>172720</xdr:rowOff>
    </xdr:from>
    <xdr:ext cx="523240" cy="233680"/>
    <xdr:sp macro="" textlink="">
      <xdr:nvSpPr>
        <xdr:cNvPr id="3" name="Metin kutusu 2">
          <a:extLst>
            <a:ext uri="{FF2B5EF4-FFF2-40B4-BE49-F238E27FC236}">
              <a16:creationId xmlns:a16="http://schemas.microsoft.com/office/drawing/2014/main" id="{0C07366E-FE9E-43CC-82ED-4F8F1BF318A6}"/>
            </a:ext>
          </a:extLst>
        </xdr:cNvPr>
        <xdr:cNvSpPr txBox="1"/>
      </xdr:nvSpPr>
      <xdr:spPr>
        <a:xfrm>
          <a:off x="4023360" y="748453"/>
          <a:ext cx="523240" cy="233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1050" b="1">
              <a:solidFill>
                <a:schemeClr val="bg1"/>
              </a:solidFill>
            </a:rPr>
            <a:t>Unit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484294</xdr:colOff>
      <xdr:row>0</xdr:row>
      <xdr:rowOff>571499</xdr:rowOff>
    </xdr:from>
    <xdr:ext cx="460586" cy="396241"/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3101307C-D2A2-464A-A07B-BD28EBA01F80}"/>
            </a:ext>
          </a:extLst>
        </xdr:cNvPr>
        <xdr:cNvSpPr txBox="1"/>
      </xdr:nvSpPr>
      <xdr:spPr>
        <a:xfrm>
          <a:off x="3875194" y="571499"/>
          <a:ext cx="460586" cy="3962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900" b="1">
              <a:solidFill>
                <a:schemeClr val="bg1">
                  <a:lumMod val="95000"/>
                </a:schemeClr>
              </a:solidFill>
            </a:rPr>
            <a:t>Stock</a:t>
          </a:r>
          <a:r>
            <a:rPr lang="tr-TR" sz="900" b="1" baseline="0">
              <a:solidFill>
                <a:schemeClr val="bg1">
                  <a:lumMod val="95000"/>
                </a:schemeClr>
              </a:solidFill>
            </a:rPr>
            <a:t> </a:t>
          </a:r>
          <a:r>
            <a:rPr lang="tr-TR" sz="900" b="1">
              <a:solidFill>
                <a:schemeClr val="bg1">
                  <a:lumMod val="95000"/>
                </a:schemeClr>
              </a:solidFill>
            </a:rPr>
            <a:t>Code</a:t>
          </a:r>
        </a:p>
      </xdr:txBody>
    </xdr:sp>
    <xdr:clientData/>
  </xdr:oneCellAnchor>
  <xdr:oneCellAnchor>
    <xdr:from>
      <xdr:col>2</xdr:col>
      <xdr:colOff>11007</xdr:colOff>
      <xdr:row>1</xdr:row>
      <xdr:rowOff>149860</xdr:rowOff>
    </xdr:from>
    <xdr:ext cx="523240" cy="233680"/>
    <xdr:sp macro="" textlink="">
      <xdr:nvSpPr>
        <xdr:cNvPr id="3" name="Metin kutusu 2">
          <a:extLst>
            <a:ext uri="{FF2B5EF4-FFF2-40B4-BE49-F238E27FC236}">
              <a16:creationId xmlns:a16="http://schemas.microsoft.com/office/drawing/2014/main" id="{E4946EB3-976E-457B-A318-894D4C9C3E15}"/>
            </a:ext>
          </a:extLst>
        </xdr:cNvPr>
        <xdr:cNvSpPr txBox="1"/>
      </xdr:nvSpPr>
      <xdr:spPr>
        <a:xfrm>
          <a:off x="3401907" y="759460"/>
          <a:ext cx="523240" cy="233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1400" b="1">
              <a:solidFill>
                <a:schemeClr val="bg1"/>
              </a:solidFill>
            </a:rPr>
            <a:t>Unit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341419</xdr:colOff>
      <xdr:row>0</xdr:row>
      <xdr:rowOff>571499</xdr:rowOff>
    </xdr:from>
    <xdr:ext cx="460586" cy="396241"/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561FCFFF-7441-475C-8022-A169341194C8}"/>
            </a:ext>
          </a:extLst>
        </xdr:cNvPr>
        <xdr:cNvSpPr txBox="1"/>
      </xdr:nvSpPr>
      <xdr:spPr>
        <a:xfrm>
          <a:off x="4113319" y="571499"/>
          <a:ext cx="460586" cy="3962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900" b="1">
              <a:solidFill>
                <a:schemeClr val="bg1">
                  <a:lumMod val="95000"/>
                </a:schemeClr>
              </a:solidFill>
            </a:rPr>
            <a:t>Stock</a:t>
          </a:r>
          <a:r>
            <a:rPr lang="tr-TR" sz="900" b="1" baseline="0">
              <a:solidFill>
                <a:schemeClr val="bg1">
                  <a:lumMod val="95000"/>
                </a:schemeClr>
              </a:solidFill>
            </a:rPr>
            <a:t> </a:t>
          </a:r>
          <a:r>
            <a:rPr lang="tr-TR" sz="900" b="1">
              <a:solidFill>
                <a:schemeClr val="bg1">
                  <a:lumMod val="95000"/>
                </a:schemeClr>
              </a:solidFill>
            </a:rPr>
            <a:t>Code</a:t>
          </a:r>
        </a:p>
      </xdr:txBody>
    </xdr:sp>
    <xdr:clientData/>
  </xdr:oneCellAnchor>
  <xdr:oneCellAnchor>
    <xdr:from>
      <xdr:col>1</xdr:col>
      <xdr:colOff>1773132</xdr:colOff>
      <xdr:row>1</xdr:row>
      <xdr:rowOff>121285</xdr:rowOff>
    </xdr:from>
    <xdr:ext cx="523240" cy="233680"/>
    <xdr:sp macro="" textlink="">
      <xdr:nvSpPr>
        <xdr:cNvPr id="3" name="Metin kutusu 2">
          <a:extLst>
            <a:ext uri="{FF2B5EF4-FFF2-40B4-BE49-F238E27FC236}">
              <a16:creationId xmlns:a16="http://schemas.microsoft.com/office/drawing/2014/main" id="{540C6B96-4770-428F-AFCF-116628FA5416}"/>
            </a:ext>
          </a:extLst>
        </xdr:cNvPr>
        <xdr:cNvSpPr txBox="1"/>
      </xdr:nvSpPr>
      <xdr:spPr>
        <a:xfrm>
          <a:off x="3735282" y="749935"/>
          <a:ext cx="523240" cy="233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1400" b="1">
              <a:solidFill>
                <a:schemeClr val="bg1"/>
              </a:solidFill>
            </a:rPr>
            <a:t>Unit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387350</xdr:colOff>
      <xdr:row>0</xdr:row>
      <xdr:rowOff>558799</xdr:rowOff>
    </xdr:from>
    <xdr:ext cx="503555" cy="438151"/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BBEC24C8-C332-4746-A4AD-9E6795F897F9}"/>
            </a:ext>
          </a:extLst>
        </xdr:cNvPr>
        <xdr:cNvSpPr txBox="1"/>
      </xdr:nvSpPr>
      <xdr:spPr>
        <a:xfrm>
          <a:off x="4368800" y="558799"/>
          <a:ext cx="503555" cy="438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1000" b="1">
              <a:solidFill>
                <a:schemeClr val="bg1">
                  <a:lumMod val="95000"/>
                </a:schemeClr>
              </a:solidFill>
            </a:rPr>
            <a:t>Stock</a:t>
          </a:r>
          <a:r>
            <a:rPr lang="tr-TR" sz="1000" b="1" baseline="0">
              <a:solidFill>
                <a:schemeClr val="bg1">
                  <a:lumMod val="95000"/>
                </a:schemeClr>
              </a:solidFill>
            </a:rPr>
            <a:t> </a:t>
          </a:r>
          <a:r>
            <a:rPr lang="tr-TR" sz="1000" b="1">
              <a:solidFill>
                <a:schemeClr val="bg1">
                  <a:lumMod val="95000"/>
                </a:schemeClr>
              </a:solidFill>
            </a:rPr>
            <a:t>Code</a:t>
          </a:r>
        </a:p>
      </xdr:txBody>
    </xdr:sp>
    <xdr:clientData/>
  </xdr:oneCellAnchor>
  <xdr:oneCellAnchor>
    <xdr:from>
      <xdr:col>2</xdr:col>
      <xdr:colOff>1482</xdr:colOff>
      <xdr:row>1</xdr:row>
      <xdr:rowOff>165735</xdr:rowOff>
    </xdr:from>
    <xdr:ext cx="595418" cy="233680"/>
    <xdr:sp macro="" textlink="">
      <xdr:nvSpPr>
        <xdr:cNvPr id="3" name="Metin kutusu 2">
          <a:extLst>
            <a:ext uri="{FF2B5EF4-FFF2-40B4-BE49-F238E27FC236}">
              <a16:creationId xmlns:a16="http://schemas.microsoft.com/office/drawing/2014/main" id="{AD693F92-C427-43CE-9B34-6AFA45557045}"/>
            </a:ext>
          </a:extLst>
        </xdr:cNvPr>
        <xdr:cNvSpPr txBox="1"/>
      </xdr:nvSpPr>
      <xdr:spPr>
        <a:xfrm>
          <a:off x="3982932" y="775335"/>
          <a:ext cx="595418" cy="233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1400" b="1">
              <a:solidFill>
                <a:schemeClr val="bg1"/>
              </a:solidFill>
            </a:rPr>
            <a:t>Unit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400051</xdr:colOff>
      <xdr:row>1</xdr:row>
      <xdr:rowOff>344804</xdr:rowOff>
    </xdr:from>
    <xdr:ext cx="523874" cy="379096"/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2C6AE13D-46AC-41AE-B29B-32E1630B89AB}"/>
            </a:ext>
          </a:extLst>
        </xdr:cNvPr>
        <xdr:cNvSpPr txBox="1"/>
      </xdr:nvSpPr>
      <xdr:spPr>
        <a:xfrm>
          <a:off x="3962401" y="792479"/>
          <a:ext cx="523874" cy="3790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900" b="1">
              <a:solidFill>
                <a:schemeClr val="bg1">
                  <a:lumMod val="95000"/>
                </a:schemeClr>
              </a:solidFill>
            </a:rPr>
            <a:t>Stock</a:t>
          </a:r>
          <a:r>
            <a:rPr lang="tr-TR" sz="900" b="1" baseline="0">
              <a:solidFill>
                <a:schemeClr val="bg1">
                  <a:lumMod val="95000"/>
                </a:schemeClr>
              </a:solidFill>
            </a:rPr>
            <a:t> </a:t>
          </a:r>
          <a:r>
            <a:rPr lang="tr-TR" sz="900" b="1">
              <a:solidFill>
                <a:schemeClr val="bg1">
                  <a:lumMod val="95000"/>
                </a:schemeClr>
              </a:solidFill>
            </a:rPr>
            <a:t>Code</a:t>
          </a:r>
        </a:p>
      </xdr:txBody>
    </xdr:sp>
    <xdr:clientData/>
  </xdr:oneCellAnchor>
  <xdr:oneCellAnchor>
    <xdr:from>
      <xdr:col>2</xdr:col>
      <xdr:colOff>7832</xdr:colOff>
      <xdr:row>2</xdr:row>
      <xdr:rowOff>200025</xdr:rowOff>
    </xdr:from>
    <xdr:ext cx="535093" cy="438150"/>
    <xdr:sp macro="" textlink="">
      <xdr:nvSpPr>
        <xdr:cNvPr id="3" name="Metin kutusu 2">
          <a:extLst>
            <a:ext uri="{FF2B5EF4-FFF2-40B4-BE49-F238E27FC236}">
              <a16:creationId xmlns:a16="http://schemas.microsoft.com/office/drawing/2014/main" id="{53545DF7-C616-4279-B7A2-37B7D82C79E9}"/>
            </a:ext>
          </a:extLst>
        </xdr:cNvPr>
        <xdr:cNvSpPr txBox="1"/>
      </xdr:nvSpPr>
      <xdr:spPr>
        <a:xfrm>
          <a:off x="3570182" y="1009650"/>
          <a:ext cx="535093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1200" b="1">
              <a:solidFill>
                <a:schemeClr val="bg1"/>
              </a:solidFill>
            </a:rPr>
            <a:t>Unit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320041</xdr:colOff>
      <xdr:row>1</xdr:row>
      <xdr:rowOff>436244</xdr:rowOff>
    </xdr:from>
    <xdr:ext cx="472439" cy="516256"/>
    <xdr:sp macro="" textlink="">
      <xdr:nvSpPr>
        <xdr:cNvPr id="4" name="Metin kutusu 3">
          <a:extLst>
            <a:ext uri="{FF2B5EF4-FFF2-40B4-BE49-F238E27FC236}">
              <a16:creationId xmlns:a16="http://schemas.microsoft.com/office/drawing/2014/main" id="{F0046157-283D-453A-A27A-FD1A8BA45C20}"/>
            </a:ext>
          </a:extLst>
        </xdr:cNvPr>
        <xdr:cNvSpPr txBox="1"/>
      </xdr:nvSpPr>
      <xdr:spPr>
        <a:xfrm>
          <a:off x="4709161" y="893444"/>
          <a:ext cx="472439" cy="5162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900" b="1">
              <a:solidFill>
                <a:schemeClr val="bg1">
                  <a:lumMod val="95000"/>
                </a:schemeClr>
              </a:solidFill>
            </a:rPr>
            <a:t>Stock</a:t>
          </a:r>
          <a:r>
            <a:rPr lang="tr-TR" sz="900" b="1" baseline="0">
              <a:solidFill>
                <a:schemeClr val="bg1">
                  <a:lumMod val="95000"/>
                </a:schemeClr>
              </a:solidFill>
            </a:rPr>
            <a:t> </a:t>
          </a:r>
          <a:r>
            <a:rPr lang="tr-TR" sz="900" b="1">
              <a:solidFill>
                <a:schemeClr val="bg1">
                  <a:lumMod val="95000"/>
                </a:schemeClr>
              </a:solidFill>
            </a:rPr>
            <a:t>Code</a:t>
          </a:r>
        </a:p>
      </xdr:txBody>
    </xdr:sp>
    <xdr:clientData/>
  </xdr:oneCellAnchor>
  <xdr:oneCellAnchor>
    <xdr:from>
      <xdr:col>1</xdr:col>
      <xdr:colOff>2065232</xdr:colOff>
      <xdr:row>2</xdr:row>
      <xdr:rowOff>157479</xdr:rowOff>
    </xdr:from>
    <xdr:ext cx="582718" cy="304165"/>
    <xdr:sp macro="" textlink="">
      <xdr:nvSpPr>
        <xdr:cNvPr id="5" name="Metin kutusu 4">
          <a:extLst>
            <a:ext uri="{FF2B5EF4-FFF2-40B4-BE49-F238E27FC236}">
              <a16:creationId xmlns:a16="http://schemas.microsoft.com/office/drawing/2014/main" id="{0A4FE784-A0E7-4E8F-BC30-CD57EDBE9B63}"/>
            </a:ext>
          </a:extLst>
        </xdr:cNvPr>
        <xdr:cNvSpPr txBox="1"/>
      </xdr:nvSpPr>
      <xdr:spPr>
        <a:xfrm>
          <a:off x="4320752" y="1094739"/>
          <a:ext cx="582718" cy="3041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1400" b="1">
              <a:solidFill>
                <a:schemeClr val="bg1"/>
              </a:solidFill>
            </a:rPr>
            <a:t>Unit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313115</xdr:colOff>
      <xdr:row>1</xdr:row>
      <xdr:rowOff>303240</xdr:rowOff>
    </xdr:from>
    <xdr:ext cx="483522" cy="431050"/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07C39BBB-BDA6-4D12-9037-3E59C985C491}"/>
            </a:ext>
          </a:extLst>
        </xdr:cNvPr>
        <xdr:cNvSpPr txBox="1"/>
      </xdr:nvSpPr>
      <xdr:spPr>
        <a:xfrm>
          <a:off x="4732715" y="760440"/>
          <a:ext cx="483522" cy="4310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800" b="1">
              <a:solidFill>
                <a:schemeClr val="bg1">
                  <a:lumMod val="95000"/>
                </a:schemeClr>
              </a:solidFill>
            </a:rPr>
            <a:t>Stock</a:t>
          </a:r>
          <a:r>
            <a:rPr lang="tr-TR" sz="800" b="1" baseline="0">
              <a:solidFill>
                <a:schemeClr val="bg1">
                  <a:lumMod val="95000"/>
                </a:schemeClr>
              </a:solidFill>
            </a:rPr>
            <a:t> </a:t>
          </a:r>
          <a:r>
            <a:rPr lang="tr-TR" sz="800" b="1">
              <a:solidFill>
                <a:schemeClr val="bg1">
                  <a:lumMod val="95000"/>
                </a:schemeClr>
              </a:solidFill>
            </a:rPr>
            <a:t>Code</a:t>
          </a:r>
        </a:p>
      </xdr:txBody>
    </xdr:sp>
    <xdr:clientData/>
  </xdr:oneCellAnchor>
  <xdr:oneCellAnchor>
    <xdr:from>
      <xdr:col>1</xdr:col>
      <xdr:colOff>1985569</xdr:colOff>
      <xdr:row>2</xdr:row>
      <xdr:rowOff>178261</xdr:rowOff>
    </xdr:from>
    <xdr:ext cx="582718" cy="304165"/>
    <xdr:sp macro="" textlink="">
      <xdr:nvSpPr>
        <xdr:cNvPr id="3" name="Metin kutusu 2">
          <a:extLst>
            <a:ext uri="{FF2B5EF4-FFF2-40B4-BE49-F238E27FC236}">
              <a16:creationId xmlns:a16="http://schemas.microsoft.com/office/drawing/2014/main" id="{B73D64EF-C9F9-4686-A5EF-AA28B2354469}"/>
            </a:ext>
          </a:extLst>
        </xdr:cNvPr>
        <xdr:cNvSpPr txBox="1"/>
      </xdr:nvSpPr>
      <xdr:spPr>
        <a:xfrm>
          <a:off x="4375478" y="981825"/>
          <a:ext cx="582718" cy="3041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1400" b="1">
              <a:solidFill>
                <a:schemeClr val="bg1"/>
              </a:solidFill>
            </a:rPr>
            <a:t>Unit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275492</xdr:colOff>
      <xdr:row>1</xdr:row>
      <xdr:rowOff>164123</xdr:rowOff>
    </xdr:from>
    <xdr:ext cx="480645" cy="404446"/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EB59BBB9-81B1-44C9-8149-16359F85C4C0}"/>
            </a:ext>
          </a:extLst>
        </xdr:cNvPr>
        <xdr:cNvSpPr txBox="1"/>
      </xdr:nvSpPr>
      <xdr:spPr>
        <a:xfrm>
          <a:off x="3933092" y="597877"/>
          <a:ext cx="480645" cy="4044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800" b="1">
              <a:solidFill>
                <a:schemeClr val="bg1">
                  <a:lumMod val="95000"/>
                </a:schemeClr>
              </a:solidFill>
            </a:rPr>
            <a:t>Stock</a:t>
          </a:r>
          <a:r>
            <a:rPr lang="tr-TR" sz="800" b="1" baseline="0">
              <a:solidFill>
                <a:schemeClr val="bg1">
                  <a:lumMod val="95000"/>
                </a:schemeClr>
              </a:solidFill>
            </a:rPr>
            <a:t> </a:t>
          </a:r>
          <a:r>
            <a:rPr lang="tr-TR" sz="800" b="1">
              <a:solidFill>
                <a:schemeClr val="bg1">
                  <a:lumMod val="95000"/>
                </a:schemeClr>
              </a:solidFill>
            </a:rPr>
            <a:t>Code</a:t>
          </a:r>
        </a:p>
      </xdr:txBody>
    </xdr:sp>
    <xdr:clientData/>
  </xdr:oneCellAnchor>
  <xdr:oneCellAnchor>
    <xdr:from>
      <xdr:col>1</xdr:col>
      <xdr:colOff>1805354</xdr:colOff>
      <xdr:row>2</xdr:row>
      <xdr:rowOff>128171</xdr:rowOff>
    </xdr:from>
    <xdr:ext cx="545123" cy="340752"/>
    <xdr:sp macro="" textlink="">
      <xdr:nvSpPr>
        <xdr:cNvPr id="3" name="Metin kutusu 2">
          <a:extLst>
            <a:ext uri="{FF2B5EF4-FFF2-40B4-BE49-F238E27FC236}">
              <a16:creationId xmlns:a16="http://schemas.microsoft.com/office/drawing/2014/main" id="{5E82011A-51CE-4755-87F3-4FBA7182E3E5}"/>
            </a:ext>
          </a:extLst>
        </xdr:cNvPr>
        <xdr:cNvSpPr txBox="1"/>
      </xdr:nvSpPr>
      <xdr:spPr>
        <a:xfrm>
          <a:off x="3587262" y="772940"/>
          <a:ext cx="545123" cy="340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1200" b="1">
              <a:solidFill>
                <a:schemeClr val="bg1"/>
              </a:solidFill>
            </a:rPr>
            <a:t>Unit</a:t>
          </a: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266700</xdr:colOff>
      <xdr:row>1</xdr:row>
      <xdr:rowOff>407963</xdr:rowOff>
    </xdr:from>
    <xdr:ext cx="458957" cy="384517"/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3B196F93-CD83-45A1-8CC3-5EEA479D688E}"/>
            </a:ext>
          </a:extLst>
        </xdr:cNvPr>
        <xdr:cNvSpPr txBox="1"/>
      </xdr:nvSpPr>
      <xdr:spPr>
        <a:xfrm>
          <a:off x="4549140" y="590843"/>
          <a:ext cx="458957" cy="3845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800" b="1">
              <a:solidFill>
                <a:schemeClr val="bg1">
                  <a:lumMod val="95000"/>
                </a:schemeClr>
              </a:solidFill>
            </a:rPr>
            <a:t>Stock</a:t>
          </a:r>
          <a:r>
            <a:rPr lang="tr-TR" sz="800" b="1" baseline="0">
              <a:solidFill>
                <a:schemeClr val="bg1">
                  <a:lumMod val="95000"/>
                </a:schemeClr>
              </a:solidFill>
            </a:rPr>
            <a:t> </a:t>
          </a:r>
          <a:r>
            <a:rPr lang="tr-TR" sz="800" b="1">
              <a:solidFill>
                <a:schemeClr val="bg1">
                  <a:lumMod val="95000"/>
                </a:schemeClr>
              </a:solidFill>
            </a:rPr>
            <a:t>Code</a:t>
          </a:r>
        </a:p>
      </xdr:txBody>
    </xdr:sp>
    <xdr:clientData/>
  </xdr:oneCellAnchor>
  <xdr:oneCellAnchor>
    <xdr:from>
      <xdr:col>1</xdr:col>
      <xdr:colOff>2163494</xdr:colOff>
      <xdr:row>2</xdr:row>
      <xdr:rowOff>158651</xdr:rowOff>
    </xdr:from>
    <xdr:ext cx="545123" cy="340752"/>
    <xdr:sp macro="" textlink="">
      <xdr:nvSpPr>
        <xdr:cNvPr id="3" name="Metin kutusu 2">
          <a:extLst>
            <a:ext uri="{FF2B5EF4-FFF2-40B4-BE49-F238E27FC236}">
              <a16:creationId xmlns:a16="http://schemas.microsoft.com/office/drawing/2014/main" id="{14AF8564-0BC9-4A01-9B2D-EF1B95E9B4A3}"/>
            </a:ext>
          </a:extLst>
        </xdr:cNvPr>
        <xdr:cNvSpPr txBox="1"/>
      </xdr:nvSpPr>
      <xdr:spPr>
        <a:xfrm>
          <a:off x="4243754" y="783491"/>
          <a:ext cx="545123" cy="340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1200" b="1">
              <a:solidFill>
                <a:schemeClr val="bg1"/>
              </a:solidFill>
            </a:rPr>
            <a:t>Unit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3D7BB-6A24-4D7D-B1D5-228B191E697E}">
  <sheetPr>
    <tabColor rgb="FFDFF4FD"/>
  </sheetPr>
  <dimension ref="A1:FS17"/>
  <sheetViews>
    <sheetView topLeftCell="A4" zoomScale="80" zoomScaleNormal="80" workbookViewId="0">
      <selection activeCell="I7" sqref="I7"/>
    </sheetView>
  </sheetViews>
  <sheetFormatPr defaultColWidth="9.140625" defaultRowHeight="15" x14ac:dyDescent="0.25"/>
  <cols>
    <col min="1" max="1" width="27.28515625" style="7" customWidth="1"/>
    <col min="2" max="2" width="27.7109375" style="7" customWidth="1"/>
    <col min="3" max="3" width="11.28515625" style="18" customWidth="1"/>
    <col min="4" max="4" width="18.7109375" style="15" customWidth="1"/>
    <col min="5" max="5" width="20" style="15" customWidth="1"/>
    <col min="6" max="6" width="19.140625" style="15" customWidth="1"/>
    <col min="7" max="7" width="20" style="15" customWidth="1"/>
    <col min="8" max="8" width="14.28515625" style="7" customWidth="1"/>
    <col min="9" max="9" width="36.7109375" style="7" customWidth="1"/>
    <col min="10" max="16384" width="9.140625" style="7"/>
  </cols>
  <sheetData>
    <row r="1" spans="1:175" ht="33" customHeight="1" x14ac:dyDescent="0.25">
      <c r="A1" s="103" t="s">
        <v>440</v>
      </c>
      <c r="B1" s="103"/>
      <c r="C1" s="104"/>
      <c r="D1" s="101" t="s">
        <v>177</v>
      </c>
      <c r="E1" s="102"/>
      <c r="F1" s="101" t="s">
        <v>178</v>
      </c>
      <c r="G1" s="102"/>
    </row>
    <row r="2" spans="1:175" s="5" customFormat="1" ht="34.15" customHeight="1" x14ac:dyDescent="0.25">
      <c r="A2" s="105"/>
      <c r="B2" s="105"/>
      <c r="C2" s="106"/>
      <c r="D2" s="38" t="s">
        <v>5</v>
      </c>
      <c r="E2" s="38" t="s">
        <v>6</v>
      </c>
      <c r="F2" s="38" t="s">
        <v>7</v>
      </c>
      <c r="G2" s="38" t="s">
        <v>8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</row>
    <row r="3" spans="1:175" s="5" customFormat="1" ht="45.6" customHeight="1" x14ac:dyDescent="0.25">
      <c r="A3" s="81" t="s">
        <v>82</v>
      </c>
      <c r="B3" s="81" t="s">
        <v>129</v>
      </c>
      <c r="C3" s="99"/>
      <c r="D3" s="27" t="s">
        <v>63</v>
      </c>
      <c r="E3" s="27" t="s">
        <v>64</v>
      </c>
      <c r="F3" s="33" t="s">
        <v>65</v>
      </c>
      <c r="G3" s="33" t="s">
        <v>66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</row>
    <row r="4" spans="1:175" s="11" customFormat="1" ht="28.5" customHeight="1" x14ac:dyDescent="0.25">
      <c r="A4" s="20" t="s">
        <v>213</v>
      </c>
      <c r="B4" s="20" t="s">
        <v>214</v>
      </c>
      <c r="C4" s="85" t="s">
        <v>101</v>
      </c>
      <c r="D4" s="9" t="s">
        <v>416</v>
      </c>
      <c r="E4" s="9" t="s">
        <v>417</v>
      </c>
      <c r="F4" s="9" t="s">
        <v>418</v>
      </c>
      <c r="G4" s="9" t="s">
        <v>419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175" ht="28.5" customHeight="1" x14ac:dyDescent="0.25">
      <c r="A5" s="8" t="s">
        <v>84</v>
      </c>
      <c r="B5" s="8" t="s">
        <v>92</v>
      </c>
      <c r="C5" s="85" t="s">
        <v>101</v>
      </c>
      <c r="D5" s="6">
        <v>800</v>
      </c>
      <c r="E5" s="6">
        <v>1000</v>
      </c>
      <c r="F5" s="6">
        <v>1200</v>
      </c>
      <c r="G5" s="6">
        <v>1350</v>
      </c>
    </row>
    <row r="6" spans="1:175" ht="28.5" customHeight="1" x14ac:dyDescent="0.25">
      <c r="A6" s="8" t="s">
        <v>85</v>
      </c>
      <c r="B6" s="8" t="s">
        <v>93</v>
      </c>
      <c r="C6" s="85" t="s">
        <v>101</v>
      </c>
      <c r="D6" s="6">
        <v>500</v>
      </c>
      <c r="E6" s="6">
        <v>550</v>
      </c>
      <c r="F6" s="6">
        <v>650</v>
      </c>
      <c r="G6" s="6">
        <v>680</v>
      </c>
    </row>
    <row r="7" spans="1:175" ht="28.5" customHeight="1" x14ac:dyDescent="0.25">
      <c r="A7" s="8" t="s">
        <v>86</v>
      </c>
      <c r="B7" s="8" t="s">
        <v>94</v>
      </c>
      <c r="C7" s="85" t="s">
        <v>102</v>
      </c>
      <c r="D7" s="6">
        <v>200</v>
      </c>
      <c r="E7" s="6">
        <v>400</v>
      </c>
      <c r="F7" s="6">
        <v>600</v>
      </c>
      <c r="G7" s="6">
        <v>700</v>
      </c>
    </row>
    <row r="8" spans="1:175" ht="28.5" customHeight="1" x14ac:dyDescent="0.25">
      <c r="A8" s="8" t="s">
        <v>87</v>
      </c>
      <c r="B8" s="8" t="s">
        <v>95</v>
      </c>
      <c r="C8" s="85" t="s">
        <v>103</v>
      </c>
      <c r="D8" s="6">
        <v>100</v>
      </c>
      <c r="E8" s="6">
        <v>150</v>
      </c>
      <c r="F8" s="6">
        <v>225</v>
      </c>
      <c r="G8" s="6">
        <v>350</v>
      </c>
    </row>
    <row r="9" spans="1:175" ht="28.5" customHeight="1" x14ac:dyDescent="0.25">
      <c r="A9" s="8" t="s">
        <v>91</v>
      </c>
      <c r="B9" s="8" t="s">
        <v>100</v>
      </c>
      <c r="C9" s="85" t="s">
        <v>111</v>
      </c>
      <c r="D9" s="6">
        <v>85</v>
      </c>
      <c r="E9" s="6">
        <v>85</v>
      </c>
      <c r="F9" s="6">
        <v>85</v>
      </c>
      <c r="G9" s="6">
        <v>85</v>
      </c>
    </row>
    <row r="10" spans="1:175" ht="28.5" customHeight="1" x14ac:dyDescent="0.25">
      <c r="A10" s="8" t="s">
        <v>88</v>
      </c>
      <c r="B10" s="8" t="s">
        <v>96</v>
      </c>
      <c r="C10" s="85" t="s">
        <v>105</v>
      </c>
      <c r="D10" s="6">
        <v>1.1000000000000001</v>
      </c>
      <c r="E10" s="6">
        <v>1.5</v>
      </c>
      <c r="F10" s="6">
        <v>2.2000000000000002</v>
      </c>
      <c r="G10" s="6">
        <v>4.4000000000000004</v>
      </c>
    </row>
    <row r="11" spans="1:175" ht="28.5" customHeight="1" x14ac:dyDescent="0.25">
      <c r="A11" s="8" t="s">
        <v>183</v>
      </c>
      <c r="B11" s="8" t="s">
        <v>97</v>
      </c>
      <c r="C11" s="85" t="s">
        <v>106</v>
      </c>
      <c r="D11" s="6">
        <v>100</v>
      </c>
      <c r="E11" s="6">
        <v>350</v>
      </c>
      <c r="F11" s="6">
        <v>350</v>
      </c>
      <c r="G11" s="6">
        <v>350</v>
      </c>
    </row>
    <row r="12" spans="1:175" ht="28.5" customHeight="1" x14ac:dyDescent="0.25">
      <c r="A12" s="8" t="s">
        <v>89</v>
      </c>
      <c r="B12" s="8" t="s">
        <v>98</v>
      </c>
      <c r="C12" s="85" t="s">
        <v>107</v>
      </c>
      <c r="D12" s="6">
        <v>1</v>
      </c>
      <c r="E12" s="6">
        <v>1</v>
      </c>
      <c r="F12" s="6">
        <v>1</v>
      </c>
      <c r="G12" s="6">
        <v>2</v>
      </c>
    </row>
    <row r="13" spans="1:175" ht="25.9" customHeight="1" x14ac:dyDescent="0.25">
      <c r="A13" s="23" t="s">
        <v>420</v>
      </c>
      <c r="B13" s="16" t="s">
        <v>171</v>
      </c>
      <c r="C13" s="85" t="s">
        <v>105</v>
      </c>
      <c r="D13" s="6">
        <v>9.5</v>
      </c>
      <c r="E13" s="6">
        <v>10</v>
      </c>
      <c r="F13" s="6">
        <v>10.5</v>
      </c>
      <c r="G13" s="6">
        <v>21</v>
      </c>
    </row>
    <row r="14" spans="1:175" ht="28.5" customHeight="1" x14ac:dyDescent="0.25">
      <c r="A14" s="8" t="s">
        <v>108</v>
      </c>
      <c r="B14" s="8" t="s">
        <v>109</v>
      </c>
      <c r="C14" s="85" t="s">
        <v>110</v>
      </c>
      <c r="D14" s="6" t="s">
        <v>112</v>
      </c>
      <c r="E14" s="6" t="s">
        <v>112</v>
      </c>
      <c r="F14" s="6" t="s">
        <v>112</v>
      </c>
      <c r="G14" s="6" t="s">
        <v>112</v>
      </c>
    </row>
    <row r="15" spans="1:175" ht="24.75" customHeight="1" x14ac:dyDescent="0.25">
      <c r="A15" s="23" t="s">
        <v>421</v>
      </c>
      <c r="B15" s="71" t="s">
        <v>422</v>
      </c>
      <c r="C15" s="86" t="s">
        <v>439</v>
      </c>
      <c r="D15" s="96" t="s">
        <v>424</v>
      </c>
      <c r="E15" s="96" t="s">
        <v>424</v>
      </c>
      <c r="F15" s="97" t="s">
        <v>423</v>
      </c>
      <c r="G15" s="97" t="s">
        <v>423</v>
      </c>
    </row>
    <row r="16" spans="1:175" ht="23.45" customHeight="1" x14ac:dyDescent="0.25">
      <c r="A16" s="91" t="s">
        <v>450</v>
      </c>
      <c r="B16" s="91" t="s">
        <v>451</v>
      </c>
      <c r="C16" s="92"/>
      <c r="D16" s="93" t="s">
        <v>452</v>
      </c>
      <c r="E16" s="93" t="s">
        <v>452</v>
      </c>
      <c r="F16" s="93" t="s">
        <v>452</v>
      </c>
      <c r="G16" s="93" t="s">
        <v>452</v>
      </c>
    </row>
    <row r="17" spans="1:7" ht="24.75" customHeight="1" x14ac:dyDescent="0.25">
      <c r="A17" s="91" t="s">
        <v>453</v>
      </c>
      <c r="B17" s="91" t="s">
        <v>454</v>
      </c>
      <c r="C17" s="92"/>
      <c r="D17" s="93" t="s">
        <v>455</v>
      </c>
      <c r="E17" s="93" t="s">
        <v>455</v>
      </c>
      <c r="F17" s="93" t="s">
        <v>455</v>
      </c>
      <c r="G17" s="93" t="s">
        <v>455</v>
      </c>
    </row>
  </sheetData>
  <mergeCells count="3">
    <mergeCell ref="D1:E1"/>
    <mergeCell ref="F1:G1"/>
    <mergeCell ref="A1:C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961BB-9429-4877-8E9B-6C01D1304E8F}">
  <sheetPr>
    <tabColor rgb="FFDFF4FD"/>
  </sheetPr>
  <dimension ref="A1:AF50"/>
  <sheetViews>
    <sheetView tabSelected="1" topLeftCell="B1" zoomScale="93" zoomScaleNormal="93" workbookViewId="0">
      <pane xSplit="2" ySplit="2" topLeftCell="N3" activePane="bottomRight" state="frozen"/>
      <selection activeCell="B1" sqref="B1"/>
      <selection pane="topRight" activeCell="D1" sqref="D1"/>
      <selection pane="bottomLeft" activeCell="B3" sqref="B3"/>
      <selection pane="bottomRight" activeCell="D2" sqref="D1:AF1048576"/>
    </sheetView>
  </sheetViews>
  <sheetFormatPr defaultRowHeight="12.75" x14ac:dyDescent="0.2"/>
  <cols>
    <col min="1" max="1" width="44.7109375" style="198" customWidth="1"/>
    <col min="2" max="2" width="39.85546875" style="198" customWidth="1"/>
    <col min="3" max="3" width="12.28515625" style="199" customWidth="1"/>
    <col min="4" max="5" width="15" style="174" bestFit="1" customWidth="1"/>
    <col min="6" max="8" width="16.140625" style="180" bestFit="1" customWidth="1"/>
    <col min="9" max="9" width="15" style="180" bestFit="1" customWidth="1"/>
    <col min="10" max="12" width="15" style="174" bestFit="1" customWidth="1"/>
    <col min="13" max="14" width="16.140625" style="174" bestFit="1" customWidth="1"/>
    <col min="15" max="21" width="15" style="174" bestFit="1" customWidth="1"/>
    <col min="22" max="24" width="16.140625" style="174" bestFit="1" customWidth="1"/>
    <col min="25" max="28" width="22.42578125" style="174" bestFit="1" customWidth="1"/>
    <col min="29" max="30" width="20.7109375" style="174" bestFit="1" customWidth="1"/>
    <col min="31" max="32" width="15" style="174" bestFit="1" customWidth="1"/>
    <col min="33" max="252" width="9.140625" style="174"/>
    <col min="253" max="253" width="41.28515625" style="174" customWidth="1"/>
    <col min="254" max="254" width="42.7109375" style="174" customWidth="1"/>
    <col min="255" max="255" width="9.85546875" style="174" customWidth="1"/>
    <col min="256" max="257" width="27" style="174" customWidth="1"/>
    <col min="258" max="261" width="21.7109375" style="174" customWidth="1"/>
    <col min="262" max="264" width="15.140625" style="174" bestFit="1" customWidth="1"/>
    <col min="265" max="266" width="16.85546875" style="174" bestFit="1" customWidth="1"/>
    <col min="267" max="271" width="15.140625" style="174" bestFit="1" customWidth="1"/>
    <col min="272" max="273" width="15.5703125" style="174" bestFit="1" customWidth="1"/>
    <col min="274" max="276" width="16.85546875" style="174" bestFit="1" customWidth="1"/>
    <col min="277" max="277" width="15.140625" style="174" bestFit="1" customWidth="1"/>
    <col min="278" max="278" width="16.140625" style="174" customWidth="1"/>
    <col min="279" max="279" width="15.140625" style="174" bestFit="1" customWidth="1"/>
    <col min="280" max="280" width="16.85546875" style="174" bestFit="1" customWidth="1"/>
    <col min="281" max="282" width="15.140625" style="174" bestFit="1" customWidth="1"/>
    <col min="283" max="283" width="16.7109375" style="174" customWidth="1"/>
    <col min="284" max="284" width="16.28515625" style="174" customWidth="1"/>
    <col min="285" max="508" width="9.140625" style="174"/>
    <col min="509" max="509" width="41.28515625" style="174" customWidth="1"/>
    <col min="510" max="510" width="42.7109375" style="174" customWidth="1"/>
    <col min="511" max="511" width="9.85546875" style="174" customWidth="1"/>
    <col min="512" max="513" width="27" style="174" customWidth="1"/>
    <col min="514" max="517" width="21.7109375" style="174" customWidth="1"/>
    <col min="518" max="520" width="15.140625" style="174" bestFit="1" customWidth="1"/>
    <col min="521" max="522" width="16.85546875" style="174" bestFit="1" customWidth="1"/>
    <col min="523" max="527" width="15.140625" style="174" bestFit="1" customWidth="1"/>
    <col min="528" max="529" width="15.5703125" style="174" bestFit="1" customWidth="1"/>
    <col min="530" max="532" width="16.85546875" style="174" bestFit="1" customWidth="1"/>
    <col min="533" max="533" width="15.140625" style="174" bestFit="1" customWidth="1"/>
    <col min="534" max="534" width="16.140625" style="174" customWidth="1"/>
    <col min="535" max="535" width="15.140625" style="174" bestFit="1" customWidth="1"/>
    <col min="536" max="536" width="16.85546875" style="174" bestFit="1" customWidth="1"/>
    <col min="537" max="538" width="15.140625" style="174" bestFit="1" customWidth="1"/>
    <col min="539" max="539" width="16.7109375" style="174" customWidth="1"/>
    <col min="540" max="540" width="16.28515625" style="174" customWidth="1"/>
    <col min="541" max="764" width="9.140625" style="174"/>
    <col min="765" max="765" width="41.28515625" style="174" customWidth="1"/>
    <col min="766" max="766" width="42.7109375" style="174" customWidth="1"/>
    <col min="767" max="767" width="9.85546875" style="174" customWidth="1"/>
    <col min="768" max="769" width="27" style="174" customWidth="1"/>
    <col min="770" max="773" width="21.7109375" style="174" customWidth="1"/>
    <col min="774" max="776" width="15.140625" style="174" bestFit="1" customWidth="1"/>
    <col min="777" max="778" width="16.85546875" style="174" bestFit="1" customWidth="1"/>
    <col min="779" max="783" width="15.140625" style="174" bestFit="1" customWidth="1"/>
    <col min="784" max="785" width="15.5703125" style="174" bestFit="1" customWidth="1"/>
    <col min="786" max="788" width="16.85546875" style="174" bestFit="1" customWidth="1"/>
    <col min="789" max="789" width="15.140625" style="174" bestFit="1" customWidth="1"/>
    <col min="790" max="790" width="16.140625" style="174" customWidth="1"/>
    <col min="791" max="791" width="15.140625" style="174" bestFit="1" customWidth="1"/>
    <col min="792" max="792" width="16.85546875" style="174" bestFit="1" customWidth="1"/>
    <col min="793" max="794" width="15.140625" style="174" bestFit="1" customWidth="1"/>
    <col min="795" max="795" width="16.7109375" style="174" customWidth="1"/>
    <col min="796" max="796" width="16.28515625" style="174" customWidth="1"/>
    <col min="797" max="1020" width="9.140625" style="174"/>
    <col min="1021" max="1021" width="41.28515625" style="174" customWidth="1"/>
    <col min="1022" max="1022" width="42.7109375" style="174" customWidth="1"/>
    <col min="1023" max="1023" width="9.85546875" style="174" customWidth="1"/>
    <col min="1024" max="1025" width="27" style="174" customWidth="1"/>
    <col min="1026" max="1029" width="21.7109375" style="174" customWidth="1"/>
    <col min="1030" max="1032" width="15.140625" style="174" bestFit="1" customWidth="1"/>
    <col min="1033" max="1034" width="16.85546875" style="174" bestFit="1" customWidth="1"/>
    <col min="1035" max="1039" width="15.140625" style="174" bestFit="1" customWidth="1"/>
    <col min="1040" max="1041" width="15.5703125" style="174" bestFit="1" customWidth="1"/>
    <col min="1042" max="1044" width="16.85546875" style="174" bestFit="1" customWidth="1"/>
    <col min="1045" max="1045" width="15.140625" style="174" bestFit="1" customWidth="1"/>
    <col min="1046" max="1046" width="16.140625" style="174" customWidth="1"/>
    <col min="1047" max="1047" width="15.140625" style="174" bestFit="1" customWidth="1"/>
    <col min="1048" max="1048" width="16.85546875" style="174" bestFit="1" customWidth="1"/>
    <col min="1049" max="1050" width="15.140625" style="174" bestFit="1" customWidth="1"/>
    <col min="1051" max="1051" width="16.7109375" style="174" customWidth="1"/>
    <col min="1052" max="1052" width="16.28515625" style="174" customWidth="1"/>
    <col min="1053" max="1276" width="9.140625" style="174"/>
    <col min="1277" max="1277" width="41.28515625" style="174" customWidth="1"/>
    <col min="1278" max="1278" width="42.7109375" style="174" customWidth="1"/>
    <col min="1279" max="1279" width="9.85546875" style="174" customWidth="1"/>
    <col min="1280" max="1281" width="27" style="174" customWidth="1"/>
    <col min="1282" max="1285" width="21.7109375" style="174" customWidth="1"/>
    <col min="1286" max="1288" width="15.140625" style="174" bestFit="1" customWidth="1"/>
    <col min="1289" max="1290" width="16.85546875" style="174" bestFit="1" customWidth="1"/>
    <col min="1291" max="1295" width="15.140625" style="174" bestFit="1" customWidth="1"/>
    <col min="1296" max="1297" width="15.5703125" style="174" bestFit="1" customWidth="1"/>
    <col min="1298" max="1300" width="16.85546875" style="174" bestFit="1" customWidth="1"/>
    <col min="1301" max="1301" width="15.140625" style="174" bestFit="1" customWidth="1"/>
    <col min="1302" max="1302" width="16.140625" style="174" customWidth="1"/>
    <col min="1303" max="1303" width="15.140625" style="174" bestFit="1" customWidth="1"/>
    <col min="1304" max="1304" width="16.85546875" style="174" bestFit="1" customWidth="1"/>
    <col min="1305" max="1306" width="15.140625" style="174" bestFit="1" customWidth="1"/>
    <col min="1307" max="1307" width="16.7109375" style="174" customWidth="1"/>
    <col min="1308" max="1308" width="16.28515625" style="174" customWidth="1"/>
    <col min="1309" max="1532" width="9.140625" style="174"/>
    <col min="1533" max="1533" width="41.28515625" style="174" customWidth="1"/>
    <col min="1534" max="1534" width="42.7109375" style="174" customWidth="1"/>
    <col min="1535" max="1535" width="9.85546875" style="174" customWidth="1"/>
    <col min="1536" max="1537" width="27" style="174" customWidth="1"/>
    <col min="1538" max="1541" width="21.7109375" style="174" customWidth="1"/>
    <col min="1542" max="1544" width="15.140625" style="174" bestFit="1" customWidth="1"/>
    <col min="1545" max="1546" width="16.85546875" style="174" bestFit="1" customWidth="1"/>
    <col min="1547" max="1551" width="15.140625" style="174" bestFit="1" customWidth="1"/>
    <col min="1552" max="1553" width="15.5703125" style="174" bestFit="1" customWidth="1"/>
    <col min="1554" max="1556" width="16.85546875" style="174" bestFit="1" customWidth="1"/>
    <col min="1557" max="1557" width="15.140625" style="174" bestFit="1" customWidth="1"/>
    <col min="1558" max="1558" width="16.140625" style="174" customWidth="1"/>
    <col min="1559" max="1559" width="15.140625" style="174" bestFit="1" customWidth="1"/>
    <col min="1560" max="1560" width="16.85546875" style="174" bestFit="1" customWidth="1"/>
    <col min="1561" max="1562" width="15.140625" style="174" bestFit="1" customWidth="1"/>
    <col min="1563" max="1563" width="16.7109375" style="174" customWidth="1"/>
    <col min="1564" max="1564" width="16.28515625" style="174" customWidth="1"/>
    <col min="1565" max="1788" width="9.140625" style="174"/>
    <col min="1789" max="1789" width="41.28515625" style="174" customWidth="1"/>
    <col min="1790" max="1790" width="42.7109375" style="174" customWidth="1"/>
    <col min="1791" max="1791" width="9.85546875" style="174" customWidth="1"/>
    <col min="1792" max="1793" width="27" style="174" customWidth="1"/>
    <col min="1794" max="1797" width="21.7109375" style="174" customWidth="1"/>
    <col min="1798" max="1800" width="15.140625" style="174" bestFit="1" customWidth="1"/>
    <col min="1801" max="1802" width="16.85546875" style="174" bestFit="1" customWidth="1"/>
    <col min="1803" max="1807" width="15.140625" style="174" bestFit="1" customWidth="1"/>
    <col min="1808" max="1809" width="15.5703125" style="174" bestFit="1" customWidth="1"/>
    <col min="1810" max="1812" width="16.85546875" style="174" bestFit="1" customWidth="1"/>
    <col min="1813" max="1813" width="15.140625" style="174" bestFit="1" customWidth="1"/>
    <col min="1814" max="1814" width="16.140625" style="174" customWidth="1"/>
    <col min="1815" max="1815" width="15.140625" style="174" bestFit="1" customWidth="1"/>
    <col min="1816" max="1816" width="16.85546875" style="174" bestFit="1" customWidth="1"/>
    <col min="1817" max="1818" width="15.140625" style="174" bestFit="1" customWidth="1"/>
    <col min="1819" max="1819" width="16.7109375" style="174" customWidth="1"/>
    <col min="1820" max="1820" width="16.28515625" style="174" customWidth="1"/>
    <col min="1821" max="2044" width="9.140625" style="174"/>
    <col min="2045" max="2045" width="41.28515625" style="174" customWidth="1"/>
    <col min="2046" max="2046" width="42.7109375" style="174" customWidth="1"/>
    <col min="2047" max="2047" width="9.85546875" style="174" customWidth="1"/>
    <col min="2048" max="2049" width="27" style="174" customWidth="1"/>
    <col min="2050" max="2053" width="21.7109375" style="174" customWidth="1"/>
    <col min="2054" max="2056" width="15.140625" style="174" bestFit="1" customWidth="1"/>
    <col min="2057" max="2058" width="16.85546875" style="174" bestFit="1" customWidth="1"/>
    <col min="2059" max="2063" width="15.140625" style="174" bestFit="1" customWidth="1"/>
    <col min="2064" max="2065" width="15.5703125" style="174" bestFit="1" customWidth="1"/>
    <col min="2066" max="2068" width="16.85546875" style="174" bestFit="1" customWidth="1"/>
    <col min="2069" max="2069" width="15.140625" style="174" bestFit="1" customWidth="1"/>
    <col min="2070" max="2070" width="16.140625" style="174" customWidth="1"/>
    <col min="2071" max="2071" width="15.140625" style="174" bestFit="1" customWidth="1"/>
    <col min="2072" max="2072" width="16.85546875" style="174" bestFit="1" customWidth="1"/>
    <col min="2073" max="2074" width="15.140625" style="174" bestFit="1" customWidth="1"/>
    <col min="2075" max="2075" width="16.7109375" style="174" customWidth="1"/>
    <col min="2076" max="2076" width="16.28515625" style="174" customWidth="1"/>
    <col min="2077" max="2300" width="9.140625" style="174"/>
    <col min="2301" max="2301" width="41.28515625" style="174" customWidth="1"/>
    <col min="2302" max="2302" width="42.7109375" style="174" customWidth="1"/>
    <col min="2303" max="2303" width="9.85546875" style="174" customWidth="1"/>
    <col min="2304" max="2305" width="27" style="174" customWidth="1"/>
    <col min="2306" max="2309" width="21.7109375" style="174" customWidth="1"/>
    <col min="2310" max="2312" width="15.140625" style="174" bestFit="1" customWidth="1"/>
    <col min="2313" max="2314" width="16.85546875" style="174" bestFit="1" customWidth="1"/>
    <col min="2315" max="2319" width="15.140625" style="174" bestFit="1" customWidth="1"/>
    <col min="2320" max="2321" width="15.5703125" style="174" bestFit="1" customWidth="1"/>
    <col min="2322" max="2324" width="16.85546875" style="174" bestFit="1" customWidth="1"/>
    <col min="2325" max="2325" width="15.140625" style="174" bestFit="1" customWidth="1"/>
    <col min="2326" max="2326" width="16.140625" style="174" customWidth="1"/>
    <col min="2327" max="2327" width="15.140625" style="174" bestFit="1" customWidth="1"/>
    <col min="2328" max="2328" width="16.85546875" style="174" bestFit="1" customWidth="1"/>
    <col min="2329" max="2330" width="15.140625" style="174" bestFit="1" customWidth="1"/>
    <col min="2331" max="2331" width="16.7109375" style="174" customWidth="1"/>
    <col min="2332" max="2332" width="16.28515625" style="174" customWidth="1"/>
    <col min="2333" max="2556" width="9.140625" style="174"/>
    <col min="2557" max="2557" width="41.28515625" style="174" customWidth="1"/>
    <col min="2558" max="2558" width="42.7109375" style="174" customWidth="1"/>
    <col min="2559" max="2559" width="9.85546875" style="174" customWidth="1"/>
    <col min="2560" max="2561" width="27" style="174" customWidth="1"/>
    <col min="2562" max="2565" width="21.7109375" style="174" customWidth="1"/>
    <col min="2566" max="2568" width="15.140625" style="174" bestFit="1" customWidth="1"/>
    <col min="2569" max="2570" width="16.85546875" style="174" bestFit="1" customWidth="1"/>
    <col min="2571" max="2575" width="15.140625" style="174" bestFit="1" customWidth="1"/>
    <col min="2576" max="2577" width="15.5703125" style="174" bestFit="1" customWidth="1"/>
    <col min="2578" max="2580" width="16.85546875" style="174" bestFit="1" customWidth="1"/>
    <col min="2581" max="2581" width="15.140625" style="174" bestFit="1" customWidth="1"/>
    <col min="2582" max="2582" width="16.140625" style="174" customWidth="1"/>
    <col min="2583" max="2583" width="15.140625" style="174" bestFit="1" customWidth="1"/>
    <col min="2584" max="2584" width="16.85546875" style="174" bestFit="1" customWidth="1"/>
    <col min="2585" max="2586" width="15.140625" style="174" bestFit="1" customWidth="1"/>
    <col min="2587" max="2587" width="16.7109375" style="174" customWidth="1"/>
    <col min="2588" max="2588" width="16.28515625" style="174" customWidth="1"/>
    <col min="2589" max="2812" width="9.140625" style="174"/>
    <col min="2813" max="2813" width="41.28515625" style="174" customWidth="1"/>
    <col min="2814" max="2814" width="42.7109375" style="174" customWidth="1"/>
    <col min="2815" max="2815" width="9.85546875" style="174" customWidth="1"/>
    <col min="2816" max="2817" width="27" style="174" customWidth="1"/>
    <col min="2818" max="2821" width="21.7109375" style="174" customWidth="1"/>
    <col min="2822" max="2824" width="15.140625" style="174" bestFit="1" customWidth="1"/>
    <col min="2825" max="2826" width="16.85546875" style="174" bestFit="1" customWidth="1"/>
    <col min="2827" max="2831" width="15.140625" style="174" bestFit="1" customWidth="1"/>
    <col min="2832" max="2833" width="15.5703125" style="174" bestFit="1" customWidth="1"/>
    <col min="2834" max="2836" width="16.85546875" style="174" bestFit="1" customWidth="1"/>
    <col min="2837" max="2837" width="15.140625" style="174" bestFit="1" customWidth="1"/>
    <col min="2838" max="2838" width="16.140625" style="174" customWidth="1"/>
    <col min="2839" max="2839" width="15.140625" style="174" bestFit="1" customWidth="1"/>
    <col min="2840" max="2840" width="16.85546875" style="174" bestFit="1" customWidth="1"/>
    <col min="2841" max="2842" width="15.140625" style="174" bestFit="1" customWidth="1"/>
    <col min="2843" max="2843" width="16.7109375" style="174" customWidth="1"/>
    <col min="2844" max="2844" width="16.28515625" style="174" customWidth="1"/>
    <col min="2845" max="3068" width="9.140625" style="174"/>
    <col min="3069" max="3069" width="41.28515625" style="174" customWidth="1"/>
    <col min="3070" max="3070" width="42.7109375" style="174" customWidth="1"/>
    <col min="3071" max="3071" width="9.85546875" style="174" customWidth="1"/>
    <col min="3072" max="3073" width="27" style="174" customWidth="1"/>
    <col min="3074" max="3077" width="21.7109375" style="174" customWidth="1"/>
    <col min="3078" max="3080" width="15.140625" style="174" bestFit="1" customWidth="1"/>
    <col min="3081" max="3082" width="16.85546875" style="174" bestFit="1" customWidth="1"/>
    <col min="3083" max="3087" width="15.140625" style="174" bestFit="1" customWidth="1"/>
    <col min="3088" max="3089" width="15.5703125" style="174" bestFit="1" customWidth="1"/>
    <col min="3090" max="3092" width="16.85546875" style="174" bestFit="1" customWidth="1"/>
    <col min="3093" max="3093" width="15.140625" style="174" bestFit="1" customWidth="1"/>
    <col min="3094" max="3094" width="16.140625" style="174" customWidth="1"/>
    <col min="3095" max="3095" width="15.140625" style="174" bestFit="1" customWidth="1"/>
    <col min="3096" max="3096" width="16.85546875" style="174" bestFit="1" customWidth="1"/>
    <col min="3097" max="3098" width="15.140625" style="174" bestFit="1" customWidth="1"/>
    <col min="3099" max="3099" width="16.7109375" style="174" customWidth="1"/>
    <col min="3100" max="3100" width="16.28515625" style="174" customWidth="1"/>
    <col min="3101" max="3324" width="9.140625" style="174"/>
    <col min="3325" max="3325" width="41.28515625" style="174" customWidth="1"/>
    <col min="3326" max="3326" width="42.7109375" style="174" customWidth="1"/>
    <col min="3327" max="3327" width="9.85546875" style="174" customWidth="1"/>
    <col min="3328" max="3329" width="27" style="174" customWidth="1"/>
    <col min="3330" max="3333" width="21.7109375" style="174" customWidth="1"/>
    <col min="3334" max="3336" width="15.140625" style="174" bestFit="1" customWidth="1"/>
    <col min="3337" max="3338" width="16.85546875" style="174" bestFit="1" customWidth="1"/>
    <col min="3339" max="3343" width="15.140625" style="174" bestFit="1" customWidth="1"/>
    <col min="3344" max="3345" width="15.5703125" style="174" bestFit="1" customWidth="1"/>
    <col min="3346" max="3348" width="16.85546875" style="174" bestFit="1" customWidth="1"/>
    <col min="3349" max="3349" width="15.140625" style="174" bestFit="1" customWidth="1"/>
    <col min="3350" max="3350" width="16.140625" style="174" customWidth="1"/>
    <col min="3351" max="3351" width="15.140625" style="174" bestFit="1" customWidth="1"/>
    <col min="3352" max="3352" width="16.85546875" style="174" bestFit="1" customWidth="1"/>
    <col min="3353" max="3354" width="15.140625" style="174" bestFit="1" customWidth="1"/>
    <col min="3355" max="3355" width="16.7109375" style="174" customWidth="1"/>
    <col min="3356" max="3356" width="16.28515625" style="174" customWidth="1"/>
    <col min="3357" max="3580" width="9.140625" style="174"/>
    <col min="3581" max="3581" width="41.28515625" style="174" customWidth="1"/>
    <col min="3582" max="3582" width="42.7109375" style="174" customWidth="1"/>
    <col min="3583" max="3583" width="9.85546875" style="174" customWidth="1"/>
    <col min="3584" max="3585" width="27" style="174" customWidth="1"/>
    <col min="3586" max="3589" width="21.7109375" style="174" customWidth="1"/>
    <col min="3590" max="3592" width="15.140625" style="174" bestFit="1" customWidth="1"/>
    <col min="3593" max="3594" width="16.85546875" style="174" bestFit="1" customWidth="1"/>
    <col min="3595" max="3599" width="15.140625" style="174" bestFit="1" customWidth="1"/>
    <col min="3600" max="3601" width="15.5703125" style="174" bestFit="1" customWidth="1"/>
    <col min="3602" max="3604" width="16.85546875" style="174" bestFit="1" customWidth="1"/>
    <col min="3605" max="3605" width="15.140625" style="174" bestFit="1" customWidth="1"/>
    <col min="3606" max="3606" width="16.140625" style="174" customWidth="1"/>
    <col min="3607" max="3607" width="15.140625" style="174" bestFit="1" customWidth="1"/>
    <col min="3608" max="3608" width="16.85546875" style="174" bestFit="1" customWidth="1"/>
    <col min="3609" max="3610" width="15.140625" style="174" bestFit="1" customWidth="1"/>
    <col min="3611" max="3611" width="16.7109375" style="174" customWidth="1"/>
    <col min="3612" max="3612" width="16.28515625" style="174" customWidth="1"/>
    <col min="3613" max="3836" width="9.140625" style="174"/>
    <col min="3837" max="3837" width="41.28515625" style="174" customWidth="1"/>
    <col min="3838" max="3838" width="42.7109375" style="174" customWidth="1"/>
    <col min="3839" max="3839" width="9.85546875" style="174" customWidth="1"/>
    <col min="3840" max="3841" width="27" style="174" customWidth="1"/>
    <col min="3842" max="3845" width="21.7109375" style="174" customWidth="1"/>
    <col min="3846" max="3848" width="15.140625" style="174" bestFit="1" customWidth="1"/>
    <col min="3849" max="3850" width="16.85546875" style="174" bestFit="1" customWidth="1"/>
    <col min="3851" max="3855" width="15.140625" style="174" bestFit="1" customWidth="1"/>
    <col min="3856" max="3857" width="15.5703125" style="174" bestFit="1" customWidth="1"/>
    <col min="3858" max="3860" width="16.85546875" style="174" bestFit="1" customWidth="1"/>
    <col min="3861" max="3861" width="15.140625" style="174" bestFit="1" customWidth="1"/>
    <col min="3862" max="3862" width="16.140625" style="174" customWidth="1"/>
    <col min="3863" max="3863" width="15.140625" style="174" bestFit="1" customWidth="1"/>
    <col min="3864" max="3864" width="16.85546875" style="174" bestFit="1" customWidth="1"/>
    <col min="3865" max="3866" width="15.140625" style="174" bestFit="1" customWidth="1"/>
    <col min="3867" max="3867" width="16.7109375" style="174" customWidth="1"/>
    <col min="3868" max="3868" width="16.28515625" style="174" customWidth="1"/>
    <col min="3869" max="4092" width="9.140625" style="174"/>
    <col min="4093" max="4093" width="41.28515625" style="174" customWidth="1"/>
    <col min="4094" max="4094" width="42.7109375" style="174" customWidth="1"/>
    <col min="4095" max="4095" width="9.85546875" style="174" customWidth="1"/>
    <col min="4096" max="4097" width="27" style="174" customWidth="1"/>
    <col min="4098" max="4101" width="21.7109375" style="174" customWidth="1"/>
    <col min="4102" max="4104" width="15.140625" style="174" bestFit="1" customWidth="1"/>
    <col min="4105" max="4106" width="16.85546875" style="174" bestFit="1" customWidth="1"/>
    <col min="4107" max="4111" width="15.140625" style="174" bestFit="1" customWidth="1"/>
    <col min="4112" max="4113" width="15.5703125" style="174" bestFit="1" customWidth="1"/>
    <col min="4114" max="4116" width="16.85546875" style="174" bestFit="1" customWidth="1"/>
    <col min="4117" max="4117" width="15.140625" style="174" bestFit="1" customWidth="1"/>
    <col min="4118" max="4118" width="16.140625" style="174" customWidth="1"/>
    <col min="4119" max="4119" width="15.140625" style="174" bestFit="1" customWidth="1"/>
    <col min="4120" max="4120" width="16.85546875" style="174" bestFit="1" customWidth="1"/>
    <col min="4121" max="4122" width="15.140625" style="174" bestFit="1" customWidth="1"/>
    <col min="4123" max="4123" width="16.7109375" style="174" customWidth="1"/>
    <col min="4124" max="4124" width="16.28515625" style="174" customWidth="1"/>
    <col min="4125" max="4348" width="9.140625" style="174"/>
    <col min="4349" max="4349" width="41.28515625" style="174" customWidth="1"/>
    <col min="4350" max="4350" width="42.7109375" style="174" customWidth="1"/>
    <col min="4351" max="4351" width="9.85546875" style="174" customWidth="1"/>
    <col min="4352" max="4353" width="27" style="174" customWidth="1"/>
    <col min="4354" max="4357" width="21.7109375" style="174" customWidth="1"/>
    <col min="4358" max="4360" width="15.140625" style="174" bestFit="1" customWidth="1"/>
    <col min="4361" max="4362" width="16.85546875" style="174" bestFit="1" customWidth="1"/>
    <col min="4363" max="4367" width="15.140625" style="174" bestFit="1" customWidth="1"/>
    <col min="4368" max="4369" width="15.5703125" style="174" bestFit="1" customWidth="1"/>
    <col min="4370" max="4372" width="16.85546875" style="174" bestFit="1" customWidth="1"/>
    <col min="4373" max="4373" width="15.140625" style="174" bestFit="1" customWidth="1"/>
    <col min="4374" max="4374" width="16.140625" style="174" customWidth="1"/>
    <col min="4375" max="4375" width="15.140625" style="174" bestFit="1" customWidth="1"/>
    <col min="4376" max="4376" width="16.85546875" style="174" bestFit="1" customWidth="1"/>
    <col min="4377" max="4378" width="15.140625" style="174" bestFit="1" customWidth="1"/>
    <col min="4379" max="4379" width="16.7109375" style="174" customWidth="1"/>
    <col min="4380" max="4380" width="16.28515625" style="174" customWidth="1"/>
    <col min="4381" max="4604" width="9.140625" style="174"/>
    <col min="4605" max="4605" width="41.28515625" style="174" customWidth="1"/>
    <col min="4606" max="4606" width="42.7109375" style="174" customWidth="1"/>
    <col min="4607" max="4607" width="9.85546875" style="174" customWidth="1"/>
    <col min="4608" max="4609" width="27" style="174" customWidth="1"/>
    <col min="4610" max="4613" width="21.7109375" style="174" customWidth="1"/>
    <col min="4614" max="4616" width="15.140625" style="174" bestFit="1" customWidth="1"/>
    <col min="4617" max="4618" width="16.85546875" style="174" bestFit="1" customWidth="1"/>
    <col min="4619" max="4623" width="15.140625" style="174" bestFit="1" customWidth="1"/>
    <col min="4624" max="4625" width="15.5703125" style="174" bestFit="1" customWidth="1"/>
    <col min="4626" max="4628" width="16.85546875" style="174" bestFit="1" customWidth="1"/>
    <col min="4629" max="4629" width="15.140625" style="174" bestFit="1" customWidth="1"/>
    <col min="4630" max="4630" width="16.140625" style="174" customWidth="1"/>
    <col min="4631" max="4631" width="15.140625" style="174" bestFit="1" customWidth="1"/>
    <col min="4632" max="4632" width="16.85546875" style="174" bestFit="1" customWidth="1"/>
    <col min="4633" max="4634" width="15.140625" style="174" bestFit="1" customWidth="1"/>
    <col min="4635" max="4635" width="16.7109375" style="174" customWidth="1"/>
    <col min="4636" max="4636" width="16.28515625" style="174" customWidth="1"/>
    <col min="4637" max="4860" width="9.140625" style="174"/>
    <col min="4861" max="4861" width="41.28515625" style="174" customWidth="1"/>
    <col min="4862" max="4862" width="42.7109375" style="174" customWidth="1"/>
    <col min="4863" max="4863" width="9.85546875" style="174" customWidth="1"/>
    <col min="4864" max="4865" width="27" style="174" customWidth="1"/>
    <col min="4866" max="4869" width="21.7109375" style="174" customWidth="1"/>
    <col min="4870" max="4872" width="15.140625" style="174" bestFit="1" customWidth="1"/>
    <col min="4873" max="4874" width="16.85546875" style="174" bestFit="1" customWidth="1"/>
    <col min="4875" max="4879" width="15.140625" style="174" bestFit="1" customWidth="1"/>
    <col min="4880" max="4881" width="15.5703125" style="174" bestFit="1" customWidth="1"/>
    <col min="4882" max="4884" width="16.85546875" style="174" bestFit="1" customWidth="1"/>
    <col min="4885" max="4885" width="15.140625" style="174" bestFit="1" customWidth="1"/>
    <col min="4886" max="4886" width="16.140625" style="174" customWidth="1"/>
    <col min="4887" max="4887" width="15.140625" style="174" bestFit="1" customWidth="1"/>
    <col min="4888" max="4888" width="16.85546875" style="174" bestFit="1" customWidth="1"/>
    <col min="4889" max="4890" width="15.140625" style="174" bestFit="1" customWidth="1"/>
    <col min="4891" max="4891" width="16.7109375" style="174" customWidth="1"/>
    <col min="4892" max="4892" width="16.28515625" style="174" customWidth="1"/>
    <col min="4893" max="5116" width="9.140625" style="174"/>
    <col min="5117" max="5117" width="41.28515625" style="174" customWidth="1"/>
    <col min="5118" max="5118" width="42.7109375" style="174" customWidth="1"/>
    <col min="5119" max="5119" width="9.85546875" style="174" customWidth="1"/>
    <col min="5120" max="5121" width="27" style="174" customWidth="1"/>
    <col min="5122" max="5125" width="21.7109375" style="174" customWidth="1"/>
    <col min="5126" max="5128" width="15.140625" style="174" bestFit="1" customWidth="1"/>
    <col min="5129" max="5130" width="16.85546875" style="174" bestFit="1" customWidth="1"/>
    <col min="5131" max="5135" width="15.140625" style="174" bestFit="1" customWidth="1"/>
    <col min="5136" max="5137" width="15.5703125" style="174" bestFit="1" customWidth="1"/>
    <col min="5138" max="5140" width="16.85546875" style="174" bestFit="1" customWidth="1"/>
    <col min="5141" max="5141" width="15.140625" style="174" bestFit="1" customWidth="1"/>
    <col min="5142" max="5142" width="16.140625" style="174" customWidth="1"/>
    <col min="5143" max="5143" width="15.140625" style="174" bestFit="1" customWidth="1"/>
    <col min="5144" max="5144" width="16.85546875" style="174" bestFit="1" customWidth="1"/>
    <col min="5145" max="5146" width="15.140625" style="174" bestFit="1" customWidth="1"/>
    <col min="5147" max="5147" width="16.7109375" style="174" customWidth="1"/>
    <col min="5148" max="5148" width="16.28515625" style="174" customWidth="1"/>
    <col min="5149" max="5372" width="9.140625" style="174"/>
    <col min="5373" max="5373" width="41.28515625" style="174" customWidth="1"/>
    <col min="5374" max="5374" width="42.7109375" style="174" customWidth="1"/>
    <col min="5375" max="5375" width="9.85546875" style="174" customWidth="1"/>
    <col min="5376" max="5377" width="27" style="174" customWidth="1"/>
    <col min="5378" max="5381" width="21.7109375" style="174" customWidth="1"/>
    <col min="5382" max="5384" width="15.140625" style="174" bestFit="1" customWidth="1"/>
    <col min="5385" max="5386" width="16.85546875" style="174" bestFit="1" customWidth="1"/>
    <col min="5387" max="5391" width="15.140625" style="174" bestFit="1" customWidth="1"/>
    <col min="5392" max="5393" width="15.5703125" style="174" bestFit="1" customWidth="1"/>
    <col min="5394" max="5396" width="16.85546875" style="174" bestFit="1" customWidth="1"/>
    <col min="5397" max="5397" width="15.140625" style="174" bestFit="1" customWidth="1"/>
    <col min="5398" max="5398" width="16.140625" style="174" customWidth="1"/>
    <col min="5399" max="5399" width="15.140625" style="174" bestFit="1" customWidth="1"/>
    <col min="5400" max="5400" width="16.85546875" style="174" bestFit="1" customWidth="1"/>
    <col min="5401" max="5402" width="15.140625" style="174" bestFit="1" customWidth="1"/>
    <col min="5403" max="5403" width="16.7109375" style="174" customWidth="1"/>
    <col min="5404" max="5404" width="16.28515625" style="174" customWidth="1"/>
    <col min="5405" max="5628" width="9.140625" style="174"/>
    <col min="5629" max="5629" width="41.28515625" style="174" customWidth="1"/>
    <col min="5630" max="5630" width="42.7109375" style="174" customWidth="1"/>
    <col min="5631" max="5631" width="9.85546875" style="174" customWidth="1"/>
    <col min="5632" max="5633" width="27" style="174" customWidth="1"/>
    <col min="5634" max="5637" width="21.7109375" style="174" customWidth="1"/>
    <col min="5638" max="5640" width="15.140625" style="174" bestFit="1" customWidth="1"/>
    <col min="5641" max="5642" width="16.85546875" style="174" bestFit="1" customWidth="1"/>
    <col min="5643" max="5647" width="15.140625" style="174" bestFit="1" customWidth="1"/>
    <col min="5648" max="5649" width="15.5703125" style="174" bestFit="1" customWidth="1"/>
    <col min="5650" max="5652" width="16.85546875" style="174" bestFit="1" customWidth="1"/>
    <col min="5653" max="5653" width="15.140625" style="174" bestFit="1" customWidth="1"/>
    <col min="5654" max="5654" width="16.140625" style="174" customWidth="1"/>
    <col min="5655" max="5655" width="15.140625" style="174" bestFit="1" customWidth="1"/>
    <col min="5656" max="5656" width="16.85546875" style="174" bestFit="1" customWidth="1"/>
    <col min="5657" max="5658" width="15.140625" style="174" bestFit="1" customWidth="1"/>
    <col min="5659" max="5659" width="16.7109375" style="174" customWidth="1"/>
    <col min="5660" max="5660" width="16.28515625" style="174" customWidth="1"/>
    <col min="5661" max="5884" width="9.140625" style="174"/>
    <col min="5885" max="5885" width="41.28515625" style="174" customWidth="1"/>
    <col min="5886" max="5886" width="42.7109375" style="174" customWidth="1"/>
    <col min="5887" max="5887" width="9.85546875" style="174" customWidth="1"/>
    <col min="5888" max="5889" width="27" style="174" customWidth="1"/>
    <col min="5890" max="5893" width="21.7109375" style="174" customWidth="1"/>
    <col min="5894" max="5896" width="15.140625" style="174" bestFit="1" customWidth="1"/>
    <col min="5897" max="5898" width="16.85546875" style="174" bestFit="1" customWidth="1"/>
    <col min="5899" max="5903" width="15.140625" style="174" bestFit="1" customWidth="1"/>
    <col min="5904" max="5905" width="15.5703125" style="174" bestFit="1" customWidth="1"/>
    <col min="5906" max="5908" width="16.85546875" style="174" bestFit="1" customWidth="1"/>
    <col min="5909" max="5909" width="15.140625" style="174" bestFit="1" customWidth="1"/>
    <col min="5910" max="5910" width="16.140625" style="174" customWidth="1"/>
    <col min="5911" max="5911" width="15.140625" style="174" bestFit="1" customWidth="1"/>
    <col min="5912" max="5912" width="16.85546875" style="174" bestFit="1" customWidth="1"/>
    <col min="5913" max="5914" width="15.140625" style="174" bestFit="1" customWidth="1"/>
    <col min="5915" max="5915" width="16.7109375" style="174" customWidth="1"/>
    <col min="5916" max="5916" width="16.28515625" style="174" customWidth="1"/>
    <col min="5917" max="6140" width="9.140625" style="174"/>
    <col min="6141" max="6141" width="41.28515625" style="174" customWidth="1"/>
    <col min="6142" max="6142" width="42.7109375" style="174" customWidth="1"/>
    <col min="6143" max="6143" width="9.85546875" style="174" customWidth="1"/>
    <col min="6144" max="6145" width="27" style="174" customWidth="1"/>
    <col min="6146" max="6149" width="21.7109375" style="174" customWidth="1"/>
    <col min="6150" max="6152" width="15.140625" style="174" bestFit="1" customWidth="1"/>
    <col min="6153" max="6154" width="16.85546875" style="174" bestFit="1" customWidth="1"/>
    <col min="6155" max="6159" width="15.140625" style="174" bestFit="1" customWidth="1"/>
    <col min="6160" max="6161" width="15.5703125" style="174" bestFit="1" customWidth="1"/>
    <col min="6162" max="6164" width="16.85546875" style="174" bestFit="1" customWidth="1"/>
    <col min="6165" max="6165" width="15.140625" style="174" bestFit="1" customWidth="1"/>
    <col min="6166" max="6166" width="16.140625" style="174" customWidth="1"/>
    <col min="6167" max="6167" width="15.140625" style="174" bestFit="1" customWidth="1"/>
    <col min="6168" max="6168" width="16.85546875" style="174" bestFit="1" customWidth="1"/>
    <col min="6169" max="6170" width="15.140625" style="174" bestFit="1" customWidth="1"/>
    <col min="6171" max="6171" width="16.7109375" style="174" customWidth="1"/>
    <col min="6172" max="6172" width="16.28515625" style="174" customWidth="1"/>
    <col min="6173" max="6396" width="9.140625" style="174"/>
    <col min="6397" max="6397" width="41.28515625" style="174" customWidth="1"/>
    <col min="6398" max="6398" width="42.7109375" style="174" customWidth="1"/>
    <col min="6399" max="6399" width="9.85546875" style="174" customWidth="1"/>
    <col min="6400" max="6401" width="27" style="174" customWidth="1"/>
    <col min="6402" max="6405" width="21.7109375" style="174" customWidth="1"/>
    <col min="6406" max="6408" width="15.140625" style="174" bestFit="1" customWidth="1"/>
    <col min="6409" max="6410" width="16.85546875" style="174" bestFit="1" customWidth="1"/>
    <col min="6411" max="6415" width="15.140625" style="174" bestFit="1" customWidth="1"/>
    <col min="6416" max="6417" width="15.5703125" style="174" bestFit="1" customWidth="1"/>
    <col min="6418" max="6420" width="16.85546875" style="174" bestFit="1" customWidth="1"/>
    <col min="6421" max="6421" width="15.140625" style="174" bestFit="1" customWidth="1"/>
    <col min="6422" max="6422" width="16.140625" style="174" customWidth="1"/>
    <col min="6423" max="6423" width="15.140625" style="174" bestFit="1" customWidth="1"/>
    <col min="6424" max="6424" width="16.85546875" style="174" bestFit="1" customWidth="1"/>
    <col min="6425" max="6426" width="15.140625" style="174" bestFit="1" customWidth="1"/>
    <col min="6427" max="6427" width="16.7109375" style="174" customWidth="1"/>
    <col min="6428" max="6428" width="16.28515625" style="174" customWidth="1"/>
    <col min="6429" max="6652" width="9.140625" style="174"/>
    <col min="6653" max="6653" width="41.28515625" style="174" customWidth="1"/>
    <col min="6654" max="6654" width="42.7109375" style="174" customWidth="1"/>
    <col min="6655" max="6655" width="9.85546875" style="174" customWidth="1"/>
    <col min="6656" max="6657" width="27" style="174" customWidth="1"/>
    <col min="6658" max="6661" width="21.7109375" style="174" customWidth="1"/>
    <col min="6662" max="6664" width="15.140625" style="174" bestFit="1" customWidth="1"/>
    <col min="6665" max="6666" width="16.85546875" style="174" bestFit="1" customWidth="1"/>
    <col min="6667" max="6671" width="15.140625" style="174" bestFit="1" customWidth="1"/>
    <col min="6672" max="6673" width="15.5703125" style="174" bestFit="1" customWidth="1"/>
    <col min="6674" max="6676" width="16.85546875" style="174" bestFit="1" customWidth="1"/>
    <col min="6677" max="6677" width="15.140625" style="174" bestFit="1" customWidth="1"/>
    <col min="6678" max="6678" width="16.140625" style="174" customWidth="1"/>
    <col min="6679" max="6679" width="15.140625" style="174" bestFit="1" customWidth="1"/>
    <col min="6680" max="6680" width="16.85546875" style="174" bestFit="1" customWidth="1"/>
    <col min="6681" max="6682" width="15.140625" style="174" bestFit="1" customWidth="1"/>
    <col min="6683" max="6683" width="16.7109375" style="174" customWidth="1"/>
    <col min="6684" max="6684" width="16.28515625" style="174" customWidth="1"/>
    <col min="6685" max="6908" width="9.140625" style="174"/>
    <col min="6909" max="6909" width="41.28515625" style="174" customWidth="1"/>
    <col min="6910" max="6910" width="42.7109375" style="174" customWidth="1"/>
    <col min="6911" max="6911" width="9.85546875" style="174" customWidth="1"/>
    <col min="6912" max="6913" width="27" style="174" customWidth="1"/>
    <col min="6914" max="6917" width="21.7109375" style="174" customWidth="1"/>
    <col min="6918" max="6920" width="15.140625" style="174" bestFit="1" customWidth="1"/>
    <col min="6921" max="6922" width="16.85546875" style="174" bestFit="1" customWidth="1"/>
    <col min="6923" max="6927" width="15.140625" style="174" bestFit="1" customWidth="1"/>
    <col min="6928" max="6929" width="15.5703125" style="174" bestFit="1" customWidth="1"/>
    <col min="6930" max="6932" width="16.85546875" style="174" bestFit="1" customWidth="1"/>
    <col min="6933" max="6933" width="15.140625" style="174" bestFit="1" customWidth="1"/>
    <col min="6934" max="6934" width="16.140625" style="174" customWidth="1"/>
    <col min="6935" max="6935" width="15.140625" style="174" bestFit="1" customWidth="1"/>
    <col min="6936" max="6936" width="16.85546875" style="174" bestFit="1" customWidth="1"/>
    <col min="6937" max="6938" width="15.140625" style="174" bestFit="1" customWidth="1"/>
    <col min="6939" max="6939" width="16.7109375" style="174" customWidth="1"/>
    <col min="6940" max="6940" width="16.28515625" style="174" customWidth="1"/>
    <col min="6941" max="7164" width="9.140625" style="174"/>
    <col min="7165" max="7165" width="41.28515625" style="174" customWidth="1"/>
    <col min="7166" max="7166" width="42.7109375" style="174" customWidth="1"/>
    <col min="7167" max="7167" width="9.85546875" style="174" customWidth="1"/>
    <col min="7168" max="7169" width="27" style="174" customWidth="1"/>
    <col min="7170" max="7173" width="21.7109375" style="174" customWidth="1"/>
    <col min="7174" max="7176" width="15.140625" style="174" bestFit="1" customWidth="1"/>
    <col min="7177" max="7178" width="16.85546875" style="174" bestFit="1" customWidth="1"/>
    <col min="7179" max="7183" width="15.140625" style="174" bestFit="1" customWidth="1"/>
    <col min="7184" max="7185" width="15.5703125" style="174" bestFit="1" customWidth="1"/>
    <col min="7186" max="7188" width="16.85546875" style="174" bestFit="1" customWidth="1"/>
    <col min="7189" max="7189" width="15.140625" style="174" bestFit="1" customWidth="1"/>
    <col min="7190" max="7190" width="16.140625" style="174" customWidth="1"/>
    <col min="7191" max="7191" width="15.140625" style="174" bestFit="1" customWidth="1"/>
    <col min="7192" max="7192" width="16.85546875" style="174" bestFit="1" customWidth="1"/>
    <col min="7193" max="7194" width="15.140625" style="174" bestFit="1" customWidth="1"/>
    <col min="7195" max="7195" width="16.7109375" style="174" customWidth="1"/>
    <col min="7196" max="7196" width="16.28515625" style="174" customWidth="1"/>
    <col min="7197" max="7420" width="9.140625" style="174"/>
    <col min="7421" max="7421" width="41.28515625" style="174" customWidth="1"/>
    <col min="7422" max="7422" width="42.7109375" style="174" customWidth="1"/>
    <col min="7423" max="7423" width="9.85546875" style="174" customWidth="1"/>
    <col min="7424" max="7425" width="27" style="174" customWidth="1"/>
    <col min="7426" max="7429" width="21.7109375" style="174" customWidth="1"/>
    <col min="7430" max="7432" width="15.140625" style="174" bestFit="1" customWidth="1"/>
    <col min="7433" max="7434" width="16.85546875" style="174" bestFit="1" customWidth="1"/>
    <col min="7435" max="7439" width="15.140625" style="174" bestFit="1" customWidth="1"/>
    <col min="7440" max="7441" width="15.5703125" style="174" bestFit="1" customWidth="1"/>
    <col min="7442" max="7444" width="16.85546875" style="174" bestFit="1" customWidth="1"/>
    <col min="7445" max="7445" width="15.140625" style="174" bestFit="1" customWidth="1"/>
    <col min="7446" max="7446" width="16.140625" style="174" customWidth="1"/>
    <col min="7447" max="7447" width="15.140625" style="174" bestFit="1" customWidth="1"/>
    <col min="7448" max="7448" width="16.85546875" style="174" bestFit="1" customWidth="1"/>
    <col min="7449" max="7450" width="15.140625" style="174" bestFit="1" customWidth="1"/>
    <col min="7451" max="7451" width="16.7109375" style="174" customWidth="1"/>
    <col min="7452" max="7452" width="16.28515625" style="174" customWidth="1"/>
    <col min="7453" max="7676" width="9.140625" style="174"/>
    <col min="7677" max="7677" width="41.28515625" style="174" customWidth="1"/>
    <col min="7678" max="7678" width="42.7109375" style="174" customWidth="1"/>
    <col min="7679" max="7679" width="9.85546875" style="174" customWidth="1"/>
    <col min="7680" max="7681" width="27" style="174" customWidth="1"/>
    <col min="7682" max="7685" width="21.7109375" style="174" customWidth="1"/>
    <col min="7686" max="7688" width="15.140625" style="174" bestFit="1" customWidth="1"/>
    <col min="7689" max="7690" width="16.85546875" style="174" bestFit="1" customWidth="1"/>
    <col min="7691" max="7695" width="15.140625" style="174" bestFit="1" customWidth="1"/>
    <col min="7696" max="7697" width="15.5703125" style="174" bestFit="1" customWidth="1"/>
    <col min="7698" max="7700" width="16.85546875" style="174" bestFit="1" customWidth="1"/>
    <col min="7701" max="7701" width="15.140625" style="174" bestFit="1" customWidth="1"/>
    <col min="7702" max="7702" width="16.140625" style="174" customWidth="1"/>
    <col min="7703" max="7703" width="15.140625" style="174" bestFit="1" customWidth="1"/>
    <col min="7704" max="7704" width="16.85546875" style="174" bestFit="1" customWidth="1"/>
    <col min="7705" max="7706" width="15.140625" style="174" bestFit="1" customWidth="1"/>
    <col min="7707" max="7707" width="16.7109375" style="174" customWidth="1"/>
    <col min="7708" max="7708" width="16.28515625" style="174" customWidth="1"/>
    <col min="7709" max="7932" width="9.140625" style="174"/>
    <col min="7933" max="7933" width="41.28515625" style="174" customWidth="1"/>
    <col min="7934" max="7934" width="42.7109375" style="174" customWidth="1"/>
    <col min="7935" max="7935" width="9.85546875" style="174" customWidth="1"/>
    <col min="7936" max="7937" width="27" style="174" customWidth="1"/>
    <col min="7938" max="7941" width="21.7109375" style="174" customWidth="1"/>
    <col min="7942" max="7944" width="15.140625" style="174" bestFit="1" customWidth="1"/>
    <col min="7945" max="7946" width="16.85546875" style="174" bestFit="1" customWidth="1"/>
    <col min="7947" max="7951" width="15.140625" style="174" bestFit="1" customWidth="1"/>
    <col min="7952" max="7953" width="15.5703125" style="174" bestFit="1" customWidth="1"/>
    <col min="7954" max="7956" width="16.85546875" style="174" bestFit="1" customWidth="1"/>
    <col min="7957" max="7957" width="15.140625" style="174" bestFit="1" customWidth="1"/>
    <col min="7958" max="7958" width="16.140625" style="174" customWidth="1"/>
    <col min="7959" max="7959" width="15.140625" style="174" bestFit="1" customWidth="1"/>
    <col min="7960" max="7960" width="16.85546875" style="174" bestFit="1" customWidth="1"/>
    <col min="7961" max="7962" width="15.140625" style="174" bestFit="1" customWidth="1"/>
    <col min="7963" max="7963" width="16.7109375" style="174" customWidth="1"/>
    <col min="7964" max="7964" width="16.28515625" style="174" customWidth="1"/>
    <col min="7965" max="8188" width="9.140625" style="174"/>
    <col min="8189" max="8189" width="41.28515625" style="174" customWidth="1"/>
    <col min="8190" max="8190" width="42.7109375" style="174" customWidth="1"/>
    <col min="8191" max="8191" width="9.85546875" style="174" customWidth="1"/>
    <col min="8192" max="8193" width="27" style="174" customWidth="1"/>
    <col min="8194" max="8197" width="21.7109375" style="174" customWidth="1"/>
    <col min="8198" max="8200" width="15.140625" style="174" bestFit="1" customWidth="1"/>
    <col min="8201" max="8202" width="16.85546875" style="174" bestFit="1" customWidth="1"/>
    <col min="8203" max="8207" width="15.140625" style="174" bestFit="1" customWidth="1"/>
    <col min="8208" max="8209" width="15.5703125" style="174" bestFit="1" customWidth="1"/>
    <col min="8210" max="8212" width="16.85546875" style="174" bestFit="1" customWidth="1"/>
    <col min="8213" max="8213" width="15.140625" style="174" bestFit="1" customWidth="1"/>
    <col min="8214" max="8214" width="16.140625" style="174" customWidth="1"/>
    <col min="8215" max="8215" width="15.140625" style="174" bestFit="1" customWidth="1"/>
    <col min="8216" max="8216" width="16.85546875" style="174" bestFit="1" customWidth="1"/>
    <col min="8217" max="8218" width="15.140625" style="174" bestFit="1" customWidth="1"/>
    <col min="8219" max="8219" width="16.7109375" style="174" customWidth="1"/>
    <col min="8220" max="8220" width="16.28515625" style="174" customWidth="1"/>
    <col min="8221" max="8444" width="9.140625" style="174"/>
    <col min="8445" max="8445" width="41.28515625" style="174" customWidth="1"/>
    <col min="8446" max="8446" width="42.7109375" style="174" customWidth="1"/>
    <col min="8447" max="8447" width="9.85546875" style="174" customWidth="1"/>
    <col min="8448" max="8449" width="27" style="174" customWidth="1"/>
    <col min="8450" max="8453" width="21.7109375" style="174" customWidth="1"/>
    <col min="8454" max="8456" width="15.140625" style="174" bestFit="1" customWidth="1"/>
    <col min="8457" max="8458" width="16.85546875" style="174" bestFit="1" customWidth="1"/>
    <col min="8459" max="8463" width="15.140625" style="174" bestFit="1" customWidth="1"/>
    <col min="8464" max="8465" width="15.5703125" style="174" bestFit="1" customWidth="1"/>
    <col min="8466" max="8468" width="16.85546875" style="174" bestFit="1" customWidth="1"/>
    <col min="8469" max="8469" width="15.140625" style="174" bestFit="1" customWidth="1"/>
    <col min="8470" max="8470" width="16.140625" style="174" customWidth="1"/>
    <col min="8471" max="8471" width="15.140625" style="174" bestFit="1" customWidth="1"/>
    <col min="8472" max="8472" width="16.85546875" style="174" bestFit="1" customWidth="1"/>
    <col min="8473" max="8474" width="15.140625" style="174" bestFit="1" customWidth="1"/>
    <col min="8475" max="8475" width="16.7109375" style="174" customWidth="1"/>
    <col min="8476" max="8476" width="16.28515625" style="174" customWidth="1"/>
    <col min="8477" max="8700" width="9.140625" style="174"/>
    <col min="8701" max="8701" width="41.28515625" style="174" customWidth="1"/>
    <col min="8702" max="8702" width="42.7109375" style="174" customWidth="1"/>
    <col min="8703" max="8703" width="9.85546875" style="174" customWidth="1"/>
    <col min="8704" max="8705" width="27" style="174" customWidth="1"/>
    <col min="8706" max="8709" width="21.7109375" style="174" customWidth="1"/>
    <col min="8710" max="8712" width="15.140625" style="174" bestFit="1" customWidth="1"/>
    <col min="8713" max="8714" width="16.85546875" style="174" bestFit="1" customWidth="1"/>
    <col min="8715" max="8719" width="15.140625" style="174" bestFit="1" customWidth="1"/>
    <col min="8720" max="8721" width="15.5703125" style="174" bestFit="1" customWidth="1"/>
    <col min="8722" max="8724" width="16.85546875" style="174" bestFit="1" customWidth="1"/>
    <col min="8725" max="8725" width="15.140625" style="174" bestFit="1" customWidth="1"/>
    <col min="8726" max="8726" width="16.140625" style="174" customWidth="1"/>
    <col min="8727" max="8727" width="15.140625" style="174" bestFit="1" customWidth="1"/>
    <col min="8728" max="8728" width="16.85546875" style="174" bestFit="1" customWidth="1"/>
    <col min="8729" max="8730" width="15.140625" style="174" bestFit="1" customWidth="1"/>
    <col min="8731" max="8731" width="16.7109375" style="174" customWidth="1"/>
    <col min="8732" max="8732" width="16.28515625" style="174" customWidth="1"/>
    <col min="8733" max="8956" width="9.140625" style="174"/>
    <col min="8957" max="8957" width="41.28515625" style="174" customWidth="1"/>
    <col min="8958" max="8958" width="42.7109375" style="174" customWidth="1"/>
    <col min="8959" max="8959" width="9.85546875" style="174" customWidth="1"/>
    <col min="8960" max="8961" width="27" style="174" customWidth="1"/>
    <col min="8962" max="8965" width="21.7109375" style="174" customWidth="1"/>
    <col min="8966" max="8968" width="15.140625" style="174" bestFit="1" customWidth="1"/>
    <col min="8969" max="8970" width="16.85546875" style="174" bestFit="1" customWidth="1"/>
    <col min="8971" max="8975" width="15.140625" style="174" bestFit="1" customWidth="1"/>
    <col min="8976" max="8977" width="15.5703125" style="174" bestFit="1" customWidth="1"/>
    <col min="8978" max="8980" width="16.85546875" style="174" bestFit="1" customWidth="1"/>
    <col min="8981" max="8981" width="15.140625" style="174" bestFit="1" customWidth="1"/>
    <col min="8982" max="8982" width="16.140625" style="174" customWidth="1"/>
    <col min="8983" max="8983" width="15.140625" style="174" bestFit="1" customWidth="1"/>
    <col min="8984" max="8984" width="16.85546875" style="174" bestFit="1" customWidth="1"/>
    <col min="8985" max="8986" width="15.140625" style="174" bestFit="1" customWidth="1"/>
    <col min="8987" max="8987" width="16.7109375" style="174" customWidth="1"/>
    <col min="8988" max="8988" width="16.28515625" style="174" customWidth="1"/>
    <col min="8989" max="9212" width="9.140625" style="174"/>
    <col min="9213" max="9213" width="41.28515625" style="174" customWidth="1"/>
    <col min="9214" max="9214" width="42.7109375" style="174" customWidth="1"/>
    <col min="9215" max="9215" width="9.85546875" style="174" customWidth="1"/>
    <col min="9216" max="9217" width="27" style="174" customWidth="1"/>
    <col min="9218" max="9221" width="21.7109375" style="174" customWidth="1"/>
    <col min="9222" max="9224" width="15.140625" style="174" bestFit="1" customWidth="1"/>
    <col min="9225" max="9226" width="16.85546875" style="174" bestFit="1" customWidth="1"/>
    <col min="9227" max="9231" width="15.140625" style="174" bestFit="1" customWidth="1"/>
    <col min="9232" max="9233" width="15.5703125" style="174" bestFit="1" customWidth="1"/>
    <col min="9234" max="9236" width="16.85546875" style="174" bestFit="1" customWidth="1"/>
    <col min="9237" max="9237" width="15.140625" style="174" bestFit="1" customWidth="1"/>
    <col min="9238" max="9238" width="16.140625" style="174" customWidth="1"/>
    <col min="9239" max="9239" width="15.140625" style="174" bestFit="1" customWidth="1"/>
    <col min="9240" max="9240" width="16.85546875" style="174" bestFit="1" customWidth="1"/>
    <col min="9241" max="9242" width="15.140625" style="174" bestFit="1" customWidth="1"/>
    <col min="9243" max="9243" width="16.7109375" style="174" customWidth="1"/>
    <col min="9244" max="9244" width="16.28515625" style="174" customWidth="1"/>
    <col min="9245" max="9468" width="9.140625" style="174"/>
    <col min="9469" max="9469" width="41.28515625" style="174" customWidth="1"/>
    <col min="9470" max="9470" width="42.7109375" style="174" customWidth="1"/>
    <col min="9471" max="9471" width="9.85546875" style="174" customWidth="1"/>
    <col min="9472" max="9473" width="27" style="174" customWidth="1"/>
    <col min="9474" max="9477" width="21.7109375" style="174" customWidth="1"/>
    <col min="9478" max="9480" width="15.140625" style="174" bestFit="1" customWidth="1"/>
    <col min="9481" max="9482" width="16.85546875" style="174" bestFit="1" customWidth="1"/>
    <col min="9483" max="9487" width="15.140625" style="174" bestFit="1" customWidth="1"/>
    <col min="9488" max="9489" width="15.5703125" style="174" bestFit="1" customWidth="1"/>
    <col min="9490" max="9492" width="16.85546875" style="174" bestFit="1" customWidth="1"/>
    <col min="9493" max="9493" width="15.140625" style="174" bestFit="1" customWidth="1"/>
    <col min="9494" max="9494" width="16.140625" style="174" customWidth="1"/>
    <col min="9495" max="9495" width="15.140625" style="174" bestFit="1" customWidth="1"/>
    <col min="9496" max="9496" width="16.85546875" style="174" bestFit="1" customWidth="1"/>
    <col min="9497" max="9498" width="15.140625" style="174" bestFit="1" customWidth="1"/>
    <col min="9499" max="9499" width="16.7109375" style="174" customWidth="1"/>
    <col min="9500" max="9500" width="16.28515625" style="174" customWidth="1"/>
    <col min="9501" max="9724" width="9.140625" style="174"/>
    <col min="9725" max="9725" width="41.28515625" style="174" customWidth="1"/>
    <col min="9726" max="9726" width="42.7109375" style="174" customWidth="1"/>
    <col min="9727" max="9727" width="9.85546875" style="174" customWidth="1"/>
    <col min="9728" max="9729" width="27" style="174" customWidth="1"/>
    <col min="9730" max="9733" width="21.7109375" style="174" customWidth="1"/>
    <col min="9734" max="9736" width="15.140625" style="174" bestFit="1" customWidth="1"/>
    <col min="9737" max="9738" width="16.85546875" style="174" bestFit="1" customWidth="1"/>
    <col min="9739" max="9743" width="15.140625" style="174" bestFit="1" customWidth="1"/>
    <col min="9744" max="9745" width="15.5703125" style="174" bestFit="1" customWidth="1"/>
    <col min="9746" max="9748" width="16.85546875" style="174" bestFit="1" customWidth="1"/>
    <col min="9749" max="9749" width="15.140625" style="174" bestFit="1" customWidth="1"/>
    <col min="9750" max="9750" width="16.140625" style="174" customWidth="1"/>
    <col min="9751" max="9751" width="15.140625" style="174" bestFit="1" customWidth="1"/>
    <col min="9752" max="9752" width="16.85546875" style="174" bestFit="1" customWidth="1"/>
    <col min="9753" max="9754" width="15.140625" style="174" bestFit="1" customWidth="1"/>
    <col min="9755" max="9755" width="16.7109375" style="174" customWidth="1"/>
    <col min="9756" max="9756" width="16.28515625" style="174" customWidth="1"/>
    <col min="9757" max="9980" width="9.140625" style="174"/>
    <col min="9981" max="9981" width="41.28515625" style="174" customWidth="1"/>
    <col min="9982" max="9982" width="42.7109375" style="174" customWidth="1"/>
    <col min="9983" max="9983" width="9.85546875" style="174" customWidth="1"/>
    <col min="9984" max="9985" width="27" style="174" customWidth="1"/>
    <col min="9986" max="9989" width="21.7109375" style="174" customWidth="1"/>
    <col min="9990" max="9992" width="15.140625" style="174" bestFit="1" customWidth="1"/>
    <col min="9993" max="9994" width="16.85546875" style="174" bestFit="1" customWidth="1"/>
    <col min="9995" max="9999" width="15.140625" style="174" bestFit="1" customWidth="1"/>
    <col min="10000" max="10001" width="15.5703125" style="174" bestFit="1" customWidth="1"/>
    <col min="10002" max="10004" width="16.85546875" style="174" bestFit="1" customWidth="1"/>
    <col min="10005" max="10005" width="15.140625" style="174" bestFit="1" customWidth="1"/>
    <col min="10006" max="10006" width="16.140625" style="174" customWidth="1"/>
    <col min="10007" max="10007" width="15.140625" style="174" bestFit="1" customWidth="1"/>
    <col min="10008" max="10008" width="16.85546875" style="174" bestFit="1" customWidth="1"/>
    <col min="10009" max="10010" width="15.140625" style="174" bestFit="1" customWidth="1"/>
    <col min="10011" max="10011" width="16.7109375" style="174" customWidth="1"/>
    <col min="10012" max="10012" width="16.28515625" style="174" customWidth="1"/>
    <col min="10013" max="10236" width="9.140625" style="174"/>
    <col min="10237" max="10237" width="41.28515625" style="174" customWidth="1"/>
    <col min="10238" max="10238" width="42.7109375" style="174" customWidth="1"/>
    <col min="10239" max="10239" width="9.85546875" style="174" customWidth="1"/>
    <col min="10240" max="10241" width="27" style="174" customWidth="1"/>
    <col min="10242" max="10245" width="21.7109375" style="174" customWidth="1"/>
    <col min="10246" max="10248" width="15.140625" style="174" bestFit="1" customWidth="1"/>
    <col min="10249" max="10250" width="16.85546875" style="174" bestFit="1" customWidth="1"/>
    <col min="10251" max="10255" width="15.140625" style="174" bestFit="1" customWidth="1"/>
    <col min="10256" max="10257" width="15.5703125" style="174" bestFit="1" customWidth="1"/>
    <col min="10258" max="10260" width="16.85546875" style="174" bestFit="1" customWidth="1"/>
    <col min="10261" max="10261" width="15.140625" style="174" bestFit="1" customWidth="1"/>
    <col min="10262" max="10262" width="16.140625" style="174" customWidth="1"/>
    <col min="10263" max="10263" width="15.140625" style="174" bestFit="1" customWidth="1"/>
    <col min="10264" max="10264" width="16.85546875" style="174" bestFit="1" customWidth="1"/>
    <col min="10265" max="10266" width="15.140625" style="174" bestFit="1" customWidth="1"/>
    <col min="10267" max="10267" width="16.7109375" style="174" customWidth="1"/>
    <col min="10268" max="10268" width="16.28515625" style="174" customWidth="1"/>
    <col min="10269" max="10492" width="9.140625" style="174"/>
    <col min="10493" max="10493" width="41.28515625" style="174" customWidth="1"/>
    <col min="10494" max="10494" width="42.7109375" style="174" customWidth="1"/>
    <col min="10495" max="10495" width="9.85546875" style="174" customWidth="1"/>
    <col min="10496" max="10497" width="27" style="174" customWidth="1"/>
    <col min="10498" max="10501" width="21.7109375" style="174" customWidth="1"/>
    <col min="10502" max="10504" width="15.140625" style="174" bestFit="1" customWidth="1"/>
    <col min="10505" max="10506" width="16.85546875" style="174" bestFit="1" customWidth="1"/>
    <col min="10507" max="10511" width="15.140625" style="174" bestFit="1" customWidth="1"/>
    <col min="10512" max="10513" width="15.5703125" style="174" bestFit="1" customWidth="1"/>
    <col min="10514" max="10516" width="16.85546875" style="174" bestFit="1" customWidth="1"/>
    <col min="10517" max="10517" width="15.140625" style="174" bestFit="1" customWidth="1"/>
    <col min="10518" max="10518" width="16.140625" style="174" customWidth="1"/>
    <col min="10519" max="10519" width="15.140625" style="174" bestFit="1" customWidth="1"/>
    <col min="10520" max="10520" width="16.85546875" style="174" bestFit="1" customWidth="1"/>
    <col min="10521" max="10522" width="15.140625" style="174" bestFit="1" customWidth="1"/>
    <col min="10523" max="10523" width="16.7109375" style="174" customWidth="1"/>
    <col min="10524" max="10524" width="16.28515625" style="174" customWidth="1"/>
    <col min="10525" max="10748" width="9.140625" style="174"/>
    <col min="10749" max="10749" width="41.28515625" style="174" customWidth="1"/>
    <col min="10750" max="10750" width="42.7109375" style="174" customWidth="1"/>
    <col min="10751" max="10751" width="9.85546875" style="174" customWidth="1"/>
    <col min="10752" max="10753" width="27" style="174" customWidth="1"/>
    <col min="10754" max="10757" width="21.7109375" style="174" customWidth="1"/>
    <col min="10758" max="10760" width="15.140625" style="174" bestFit="1" customWidth="1"/>
    <col min="10761" max="10762" width="16.85546875" style="174" bestFit="1" customWidth="1"/>
    <col min="10763" max="10767" width="15.140625" style="174" bestFit="1" customWidth="1"/>
    <col min="10768" max="10769" width="15.5703125" style="174" bestFit="1" customWidth="1"/>
    <col min="10770" max="10772" width="16.85546875" style="174" bestFit="1" customWidth="1"/>
    <col min="10773" max="10773" width="15.140625" style="174" bestFit="1" customWidth="1"/>
    <col min="10774" max="10774" width="16.140625" style="174" customWidth="1"/>
    <col min="10775" max="10775" width="15.140625" style="174" bestFit="1" customWidth="1"/>
    <col min="10776" max="10776" width="16.85546875" style="174" bestFit="1" customWidth="1"/>
    <col min="10777" max="10778" width="15.140625" style="174" bestFit="1" customWidth="1"/>
    <col min="10779" max="10779" width="16.7109375" style="174" customWidth="1"/>
    <col min="10780" max="10780" width="16.28515625" style="174" customWidth="1"/>
    <col min="10781" max="11004" width="9.140625" style="174"/>
    <col min="11005" max="11005" width="41.28515625" style="174" customWidth="1"/>
    <col min="11006" max="11006" width="42.7109375" style="174" customWidth="1"/>
    <col min="11007" max="11007" width="9.85546875" style="174" customWidth="1"/>
    <col min="11008" max="11009" width="27" style="174" customWidth="1"/>
    <col min="11010" max="11013" width="21.7109375" style="174" customWidth="1"/>
    <col min="11014" max="11016" width="15.140625" style="174" bestFit="1" customWidth="1"/>
    <col min="11017" max="11018" width="16.85546875" style="174" bestFit="1" customWidth="1"/>
    <col min="11019" max="11023" width="15.140625" style="174" bestFit="1" customWidth="1"/>
    <col min="11024" max="11025" width="15.5703125" style="174" bestFit="1" customWidth="1"/>
    <col min="11026" max="11028" width="16.85546875" style="174" bestFit="1" customWidth="1"/>
    <col min="11029" max="11029" width="15.140625" style="174" bestFit="1" customWidth="1"/>
    <col min="11030" max="11030" width="16.140625" style="174" customWidth="1"/>
    <col min="11031" max="11031" width="15.140625" style="174" bestFit="1" customWidth="1"/>
    <col min="11032" max="11032" width="16.85546875" style="174" bestFit="1" customWidth="1"/>
    <col min="11033" max="11034" width="15.140625" style="174" bestFit="1" customWidth="1"/>
    <col min="11035" max="11035" width="16.7109375" style="174" customWidth="1"/>
    <col min="11036" max="11036" width="16.28515625" style="174" customWidth="1"/>
    <col min="11037" max="11260" width="9.140625" style="174"/>
    <col min="11261" max="11261" width="41.28515625" style="174" customWidth="1"/>
    <col min="11262" max="11262" width="42.7109375" style="174" customWidth="1"/>
    <col min="11263" max="11263" width="9.85546875" style="174" customWidth="1"/>
    <col min="11264" max="11265" width="27" style="174" customWidth="1"/>
    <col min="11266" max="11269" width="21.7109375" style="174" customWidth="1"/>
    <col min="11270" max="11272" width="15.140625" style="174" bestFit="1" customWidth="1"/>
    <col min="11273" max="11274" width="16.85546875" style="174" bestFit="1" customWidth="1"/>
    <col min="11275" max="11279" width="15.140625" style="174" bestFit="1" customWidth="1"/>
    <col min="11280" max="11281" width="15.5703125" style="174" bestFit="1" customWidth="1"/>
    <col min="11282" max="11284" width="16.85546875" style="174" bestFit="1" customWidth="1"/>
    <col min="11285" max="11285" width="15.140625" style="174" bestFit="1" customWidth="1"/>
    <col min="11286" max="11286" width="16.140625" style="174" customWidth="1"/>
    <col min="11287" max="11287" width="15.140625" style="174" bestFit="1" customWidth="1"/>
    <col min="11288" max="11288" width="16.85546875" style="174" bestFit="1" customWidth="1"/>
    <col min="11289" max="11290" width="15.140625" style="174" bestFit="1" customWidth="1"/>
    <col min="11291" max="11291" width="16.7109375" style="174" customWidth="1"/>
    <col min="11292" max="11292" width="16.28515625" style="174" customWidth="1"/>
    <col min="11293" max="11516" width="9.140625" style="174"/>
    <col min="11517" max="11517" width="41.28515625" style="174" customWidth="1"/>
    <col min="11518" max="11518" width="42.7109375" style="174" customWidth="1"/>
    <col min="11519" max="11519" width="9.85546875" style="174" customWidth="1"/>
    <col min="11520" max="11521" width="27" style="174" customWidth="1"/>
    <col min="11522" max="11525" width="21.7109375" style="174" customWidth="1"/>
    <col min="11526" max="11528" width="15.140625" style="174" bestFit="1" customWidth="1"/>
    <col min="11529" max="11530" width="16.85546875" style="174" bestFit="1" customWidth="1"/>
    <col min="11531" max="11535" width="15.140625" style="174" bestFit="1" customWidth="1"/>
    <col min="11536" max="11537" width="15.5703125" style="174" bestFit="1" customWidth="1"/>
    <col min="11538" max="11540" width="16.85546875" style="174" bestFit="1" customWidth="1"/>
    <col min="11541" max="11541" width="15.140625" style="174" bestFit="1" customWidth="1"/>
    <col min="11542" max="11542" width="16.140625" style="174" customWidth="1"/>
    <col min="11543" max="11543" width="15.140625" style="174" bestFit="1" customWidth="1"/>
    <col min="11544" max="11544" width="16.85546875" style="174" bestFit="1" customWidth="1"/>
    <col min="11545" max="11546" width="15.140625" style="174" bestFit="1" customWidth="1"/>
    <col min="11547" max="11547" width="16.7109375" style="174" customWidth="1"/>
    <col min="11548" max="11548" width="16.28515625" style="174" customWidth="1"/>
    <col min="11549" max="11772" width="9.140625" style="174"/>
    <col min="11773" max="11773" width="41.28515625" style="174" customWidth="1"/>
    <col min="11774" max="11774" width="42.7109375" style="174" customWidth="1"/>
    <col min="11775" max="11775" width="9.85546875" style="174" customWidth="1"/>
    <col min="11776" max="11777" width="27" style="174" customWidth="1"/>
    <col min="11778" max="11781" width="21.7109375" style="174" customWidth="1"/>
    <col min="11782" max="11784" width="15.140625" style="174" bestFit="1" customWidth="1"/>
    <col min="11785" max="11786" width="16.85546875" style="174" bestFit="1" customWidth="1"/>
    <col min="11787" max="11791" width="15.140625" style="174" bestFit="1" customWidth="1"/>
    <col min="11792" max="11793" width="15.5703125" style="174" bestFit="1" customWidth="1"/>
    <col min="11794" max="11796" width="16.85546875" style="174" bestFit="1" customWidth="1"/>
    <col min="11797" max="11797" width="15.140625" style="174" bestFit="1" customWidth="1"/>
    <col min="11798" max="11798" width="16.140625" style="174" customWidth="1"/>
    <col min="11799" max="11799" width="15.140625" style="174" bestFit="1" customWidth="1"/>
    <col min="11800" max="11800" width="16.85546875" style="174" bestFit="1" customWidth="1"/>
    <col min="11801" max="11802" width="15.140625" style="174" bestFit="1" customWidth="1"/>
    <col min="11803" max="11803" width="16.7109375" style="174" customWidth="1"/>
    <col min="11804" max="11804" width="16.28515625" style="174" customWidth="1"/>
    <col min="11805" max="12028" width="9.140625" style="174"/>
    <col min="12029" max="12029" width="41.28515625" style="174" customWidth="1"/>
    <col min="12030" max="12030" width="42.7109375" style="174" customWidth="1"/>
    <col min="12031" max="12031" width="9.85546875" style="174" customWidth="1"/>
    <col min="12032" max="12033" width="27" style="174" customWidth="1"/>
    <col min="12034" max="12037" width="21.7109375" style="174" customWidth="1"/>
    <col min="12038" max="12040" width="15.140625" style="174" bestFit="1" customWidth="1"/>
    <col min="12041" max="12042" width="16.85546875" style="174" bestFit="1" customWidth="1"/>
    <col min="12043" max="12047" width="15.140625" style="174" bestFit="1" customWidth="1"/>
    <col min="12048" max="12049" width="15.5703125" style="174" bestFit="1" customWidth="1"/>
    <col min="12050" max="12052" width="16.85546875" style="174" bestFit="1" customWidth="1"/>
    <col min="12053" max="12053" width="15.140625" style="174" bestFit="1" customWidth="1"/>
    <col min="12054" max="12054" width="16.140625" style="174" customWidth="1"/>
    <col min="12055" max="12055" width="15.140625" style="174" bestFit="1" customWidth="1"/>
    <col min="12056" max="12056" width="16.85546875" style="174" bestFit="1" customWidth="1"/>
    <col min="12057" max="12058" width="15.140625" style="174" bestFit="1" customWidth="1"/>
    <col min="12059" max="12059" width="16.7109375" style="174" customWidth="1"/>
    <col min="12060" max="12060" width="16.28515625" style="174" customWidth="1"/>
    <col min="12061" max="12284" width="9.140625" style="174"/>
    <col min="12285" max="12285" width="41.28515625" style="174" customWidth="1"/>
    <col min="12286" max="12286" width="42.7109375" style="174" customWidth="1"/>
    <col min="12287" max="12287" width="9.85546875" style="174" customWidth="1"/>
    <col min="12288" max="12289" width="27" style="174" customWidth="1"/>
    <col min="12290" max="12293" width="21.7109375" style="174" customWidth="1"/>
    <col min="12294" max="12296" width="15.140625" style="174" bestFit="1" customWidth="1"/>
    <col min="12297" max="12298" width="16.85546875" style="174" bestFit="1" customWidth="1"/>
    <col min="12299" max="12303" width="15.140625" style="174" bestFit="1" customWidth="1"/>
    <col min="12304" max="12305" width="15.5703125" style="174" bestFit="1" customWidth="1"/>
    <col min="12306" max="12308" width="16.85546875" style="174" bestFit="1" customWidth="1"/>
    <col min="12309" max="12309" width="15.140625" style="174" bestFit="1" customWidth="1"/>
    <col min="12310" max="12310" width="16.140625" style="174" customWidth="1"/>
    <col min="12311" max="12311" width="15.140625" style="174" bestFit="1" customWidth="1"/>
    <col min="12312" max="12312" width="16.85546875" style="174" bestFit="1" customWidth="1"/>
    <col min="12313" max="12314" width="15.140625" style="174" bestFit="1" customWidth="1"/>
    <col min="12315" max="12315" width="16.7109375" style="174" customWidth="1"/>
    <col min="12316" max="12316" width="16.28515625" style="174" customWidth="1"/>
    <col min="12317" max="12540" width="9.140625" style="174"/>
    <col min="12541" max="12541" width="41.28515625" style="174" customWidth="1"/>
    <col min="12542" max="12542" width="42.7109375" style="174" customWidth="1"/>
    <col min="12543" max="12543" width="9.85546875" style="174" customWidth="1"/>
    <col min="12544" max="12545" width="27" style="174" customWidth="1"/>
    <col min="12546" max="12549" width="21.7109375" style="174" customWidth="1"/>
    <col min="12550" max="12552" width="15.140625" style="174" bestFit="1" customWidth="1"/>
    <col min="12553" max="12554" width="16.85546875" style="174" bestFit="1" customWidth="1"/>
    <col min="12555" max="12559" width="15.140625" style="174" bestFit="1" customWidth="1"/>
    <col min="12560" max="12561" width="15.5703125" style="174" bestFit="1" customWidth="1"/>
    <col min="12562" max="12564" width="16.85546875" style="174" bestFit="1" customWidth="1"/>
    <col min="12565" max="12565" width="15.140625" style="174" bestFit="1" customWidth="1"/>
    <col min="12566" max="12566" width="16.140625" style="174" customWidth="1"/>
    <col min="12567" max="12567" width="15.140625" style="174" bestFit="1" customWidth="1"/>
    <col min="12568" max="12568" width="16.85546875" style="174" bestFit="1" customWidth="1"/>
    <col min="12569" max="12570" width="15.140625" style="174" bestFit="1" customWidth="1"/>
    <col min="12571" max="12571" width="16.7109375" style="174" customWidth="1"/>
    <col min="12572" max="12572" width="16.28515625" style="174" customWidth="1"/>
    <col min="12573" max="12796" width="9.140625" style="174"/>
    <col min="12797" max="12797" width="41.28515625" style="174" customWidth="1"/>
    <col min="12798" max="12798" width="42.7109375" style="174" customWidth="1"/>
    <col min="12799" max="12799" width="9.85546875" style="174" customWidth="1"/>
    <col min="12800" max="12801" width="27" style="174" customWidth="1"/>
    <col min="12802" max="12805" width="21.7109375" style="174" customWidth="1"/>
    <col min="12806" max="12808" width="15.140625" style="174" bestFit="1" customWidth="1"/>
    <col min="12809" max="12810" width="16.85546875" style="174" bestFit="1" customWidth="1"/>
    <col min="12811" max="12815" width="15.140625" style="174" bestFit="1" customWidth="1"/>
    <col min="12816" max="12817" width="15.5703125" style="174" bestFit="1" customWidth="1"/>
    <col min="12818" max="12820" width="16.85546875" style="174" bestFit="1" customWidth="1"/>
    <col min="12821" max="12821" width="15.140625" style="174" bestFit="1" customWidth="1"/>
    <col min="12822" max="12822" width="16.140625" style="174" customWidth="1"/>
    <col min="12823" max="12823" width="15.140625" style="174" bestFit="1" customWidth="1"/>
    <col min="12824" max="12824" width="16.85546875" style="174" bestFit="1" customWidth="1"/>
    <col min="12825" max="12826" width="15.140625" style="174" bestFit="1" customWidth="1"/>
    <col min="12827" max="12827" width="16.7109375" style="174" customWidth="1"/>
    <col min="12828" max="12828" width="16.28515625" style="174" customWidth="1"/>
    <col min="12829" max="13052" width="9.140625" style="174"/>
    <col min="13053" max="13053" width="41.28515625" style="174" customWidth="1"/>
    <col min="13054" max="13054" width="42.7109375" style="174" customWidth="1"/>
    <col min="13055" max="13055" width="9.85546875" style="174" customWidth="1"/>
    <col min="13056" max="13057" width="27" style="174" customWidth="1"/>
    <col min="13058" max="13061" width="21.7109375" style="174" customWidth="1"/>
    <col min="13062" max="13064" width="15.140625" style="174" bestFit="1" customWidth="1"/>
    <col min="13065" max="13066" width="16.85546875" style="174" bestFit="1" customWidth="1"/>
    <col min="13067" max="13071" width="15.140625" style="174" bestFit="1" customWidth="1"/>
    <col min="13072" max="13073" width="15.5703125" style="174" bestFit="1" customWidth="1"/>
    <col min="13074" max="13076" width="16.85546875" style="174" bestFit="1" customWidth="1"/>
    <col min="13077" max="13077" width="15.140625" style="174" bestFit="1" customWidth="1"/>
    <col min="13078" max="13078" width="16.140625" style="174" customWidth="1"/>
    <col min="13079" max="13079" width="15.140625" style="174" bestFit="1" customWidth="1"/>
    <col min="13080" max="13080" width="16.85546875" style="174" bestFit="1" customWidth="1"/>
    <col min="13081" max="13082" width="15.140625" style="174" bestFit="1" customWidth="1"/>
    <col min="13083" max="13083" width="16.7109375" style="174" customWidth="1"/>
    <col min="13084" max="13084" width="16.28515625" style="174" customWidth="1"/>
    <col min="13085" max="13308" width="9.140625" style="174"/>
    <col min="13309" max="13309" width="41.28515625" style="174" customWidth="1"/>
    <col min="13310" max="13310" width="42.7109375" style="174" customWidth="1"/>
    <col min="13311" max="13311" width="9.85546875" style="174" customWidth="1"/>
    <col min="13312" max="13313" width="27" style="174" customWidth="1"/>
    <col min="13314" max="13317" width="21.7109375" style="174" customWidth="1"/>
    <col min="13318" max="13320" width="15.140625" style="174" bestFit="1" customWidth="1"/>
    <col min="13321" max="13322" width="16.85546875" style="174" bestFit="1" customWidth="1"/>
    <col min="13323" max="13327" width="15.140625" style="174" bestFit="1" customWidth="1"/>
    <col min="13328" max="13329" width="15.5703125" style="174" bestFit="1" customWidth="1"/>
    <col min="13330" max="13332" width="16.85546875" style="174" bestFit="1" customWidth="1"/>
    <col min="13333" max="13333" width="15.140625" style="174" bestFit="1" customWidth="1"/>
    <col min="13334" max="13334" width="16.140625" style="174" customWidth="1"/>
    <col min="13335" max="13335" width="15.140625" style="174" bestFit="1" customWidth="1"/>
    <col min="13336" max="13336" width="16.85546875" style="174" bestFit="1" customWidth="1"/>
    <col min="13337" max="13338" width="15.140625" style="174" bestFit="1" customWidth="1"/>
    <col min="13339" max="13339" width="16.7109375" style="174" customWidth="1"/>
    <col min="13340" max="13340" width="16.28515625" style="174" customWidth="1"/>
    <col min="13341" max="13564" width="9.140625" style="174"/>
    <col min="13565" max="13565" width="41.28515625" style="174" customWidth="1"/>
    <col min="13566" max="13566" width="42.7109375" style="174" customWidth="1"/>
    <col min="13567" max="13567" width="9.85546875" style="174" customWidth="1"/>
    <col min="13568" max="13569" width="27" style="174" customWidth="1"/>
    <col min="13570" max="13573" width="21.7109375" style="174" customWidth="1"/>
    <col min="13574" max="13576" width="15.140625" style="174" bestFit="1" customWidth="1"/>
    <col min="13577" max="13578" width="16.85546875" style="174" bestFit="1" customWidth="1"/>
    <col min="13579" max="13583" width="15.140625" style="174" bestFit="1" customWidth="1"/>
    <col min="13584" max="13585" width="15.5703125" style="174" bestFit="1" customWidth="1"/>
    <col min="13586" max="13588" width="16.85546875" style="174" bestFit="1" customWidth="1"/>
    <col min="13589" max="13589" width="15.140625" style="174" bestFit="1" customWidth="1"/>
    <col min="13590" max="13590" width="16.140625" style="174" customWidth="1"/>
    <col min="13591" max="13591" width="15.140625" style="174" bestFit="1" customWidth="1"/>
    <col min="13592" max="13592" width="16.85546875" style="174" bestFit="1" customWidth="1"/>
    <col min="13593" max="13594" width="15.140625" style="174" bestFit="1" customWidth="1"/>
    <col min="13595" max="13595" width="16.7109375" style="174" customWidth="1"/>
    <col min="13596" max="13596" width="16.28515625" style="174" customWidth="1"/>
    <col min="13597" max="13820" width="9.140625" style="174"/>
    <col min="13821" max="13821" width="41.28515625" style="174" customWidth="1"/>
    <col min="13822" max="13822" width="42.7109375" style="174" customWidth="1"/>
    <col min="13823" max="13823" width="9.85546875" style="174" customWidth="1"/>
    <col min="13824" max="13825" width="27" style="174" customWidth="1"/>
    <col min="13826" max="13829" width="21.7109375" style="174" customWidth="1"/>
    <col min="13830" max="13832" width="15.140625" style="174" bestFit="1" customWidth="1"/>
    <col min="13833" max="13834" width="16.85546875" style="174" bestFit="1" customWidth="1"/>
    <col min="13835" max="13839" width="15.140625" style="174" bestFit="1" customWidth="1"/>
    <col min="13840" max="13841" width="15.5703125" style="174" bestFit="1" customWidth="1"/>
    <col min="13842" max="13844" width="16.85546875" style="174" bestFit="1" customWidth="1"/>
    <col min="13845" max="13845" width="15.140625" style="174" bestFit="1" customWidth="1"/>
    <col min="13846" max="13846" width="16.140625" style="174" customWidth="1"/>
    <col min="13847" max="13847" width="15.140625" style="174" bestFit="1" customWidth="1"/>
    <col min="13848" max="13848" width="16.85546875" style="174" bestFit="1" customWidth="1"/>
    <col min="13849" max="13850" width="15.140625" style="174" bestFit="1" customWidth="1"/>
    <col min="13851" max="13851" width="16.7109375" style="174" customWidth="1"/>
    <col min="13852" max="13852" width="16.28515625" style="174" customWidth="1"/>
    <col min="13853" max="14076" width="9.140625" style="174"/>
    <col min="14077" max="14077" width="41.28515625" style="174" customWidth="1"/>
    <col min="14078" max="14078" width="42.7109375" style="174" customWidth="1"/>
    <col min="14079" max="14079" width="9.85546875" style="174" customWidth="1"/>
    <col min="14080" max="14081" width="27" style="174" customWidth="1"/>
    <col min="14082" max="14085" width="21.7109375" style="174" customWidth="1"/>
    <col min="14086" max="14088" width="15.140625" style="174" bestFit="1" customWidth="1"/>
    <col min="14089" max="14090" width="16.85546875" style="174" bestFit="1" customWidth="1"/>
    <col min="14091" max="14095" width="15.140625" style="174" bestFit="1" customWidth="1"/>
    <col min="14096" max="14097" width="15.5703125" style="174" bestFit="1" customWidth="1"/>
    <col min="14098" max="14100" width="16.85546875" style="174" bestFit="1" customWidth="1"/>
    <col min="14101" max="14101" width="15.140625" style="174" bestFit="1" customWidth="1"/>
    <col min="14102" max="14102" width="16.140625" style="174" customWidth="1"/>
    <col min="14103" max="14103" width="15.140625" style="174" bestFit="1" customWidth="1"/>
    <col min="14104" max="14104" width="16.85546875" style="174" bestFit="1" customWidth="1"/>
    <col min="14105" max="14106" width="15.140625" style="174" bestFit="1" customWidth="1"/>
    <col min="14107" max="14107" width="16.7109375" style="174" customWidth="1"/>
    <col min="14108" max="14108" width="16.28515625" style="174" customWidth="1"/>
    <col min="14109" max="14332" width="9.140625" style="174"/>
    <col min="14333" max="14333" width="41.28515625" style="174" customWidth="1"/>
    <col min="14334" max="14334" width="42.7109375" style="174" customWidth="1"/>
    <col min="14335" max="14335" width="9.85546875" style="174" customWidth="1"/>
    <col min="14336" max="14337" width="27" style="174" customWidth="1"/>
    <col min="14338" max="14341" width="21.7109375" style="174" customWidth="1"/>
    <col min="14342" max="14344" width="15.140625" style="174" bestFit="1" customWidth="1"/>
    <col min="14345" max="14346" width="16.85546875" style="174" bestFit="1" customWidth="1"/>
    <col min="14347" max="14351" width="15.140625" style="174" bestFit="1" customWidth="1"/>
    <col min="14352" max="14353" width="15.5703125" style="174" bestFit="1" customWidth="1"/>
    <col min="14354" max="14356" width="16.85546875" style="174" bestFit="1" customWidth="1"/>
    <col min="14357" max="14357" width="15.140625" style="174" bestFit="1" customWidth="1"/>
    <col min="14358" max="14358" width="16.140625" style="174" customWidth="1"/>
    <col min="14359" max="14359" width="15.140625" style="174" bestFit="1" customWidth="1"/>
    <col min="14360" max="14360" width="16.85546875" style="174" bestFit="1" customWidth="1"/>
    <col min="14361" max="14362" width="15.140625" style="174" bestFit="1" customWidth="1"/>
    <col min="14363" max="14363" width="16.7109375" style="174" customWidth="1"/>
    <col min="14364" max="14364" width="16.28515625" style="174" customWidth="1"/>
    <col min="14365" max="14588" width="9.140625" style="174"/>
    <col min="14589" max="14589" width="41.28515625" style="174" customWidth="1"/>
    <col min="14590" max="14590" width="42.7109375" style="174" customWidth="1"/>
    <col min="14591" max="14591" width="9.85546875" style="174" customWidth="1"/>
    <col min="14592" max="14593" width="27" style="174" customWidth="1"/>
    <col min="14594" max="14597" width="21.7109375" style="174" customWidth="1"/>
    <col min="14598" max="14600" width="15.140625" style="174" bestFit="1" customWidth="1"/>
    <col min="14601" max="14602" width="16.85546875" style="174" bestFit="1" customWidth="1"/>
    <col min="14603" max="14607" width="15.140625" style="174" bestFit="1" customWidth="1"/>
    <col min="14608" max="14609" width="15.5703125" style="174" bestFit="1" customWidth="1"/>
    <col min="14610" max="14612" width="16.85546875" style="174" bestFit="1" customWidth="1"/>
    <col min="14613" max="14613" width="15.140625" style="174" bestFit="1" customWidth="1"/>
    <col min="14614" max="14614" width="16.140625" style="174" customWidth="1"/>
    <col min="14615" max="14615" width="15.140625" style="174" bestFit="1" customWidth="1"/>
    <col min="14616" max="14616" width="16.85546875" style="174" bestFit="1" customWidth="1"/>
    <col min="14617" max="14618" width="15.140625" style="174" bestFit="1" customWidth="1"/>
    <col min="14619" max="14619" width="16.7109375" style="174" customWidth="1"/>
    <col min="14620" max="14620" width="16.28515625" style="174" customWidth="1"/>
    <col min="14621" max="14844" width="9.140625" style="174"/>
    <col min="14845" max="14845" width="41.28515625" style="174" customWidth="1"/>
    <col min="14846" max="14846" width="42.7109375" style="174" customWidth="1"/>
    <col min="14847" max="14847" width="9.85546875" style="174" customWidth="1"/>
    <col min="14848" max="14849" width="27" style="174" customWidth="1"/>
    <col min="14850" max="14853" width="21.7109375" style="174" customWidth="1"/>
    <col min="14854" max="14856" width="15.140625" style="174" bestFit="1" customWidth="1"/>
    <col min="14857" max="14858" width="16.85546875" style="174" bestFit="1" customWidth="1"/>
    <col min="14859" max="14863" width="15.140625" style="174" bestFit="1" customWidth="1"/>
    <col min="14864" max="14865" width="15.5703125" style="174" bestFit="1" customWidth="1"/>
    <col min="14866" max="14868" width="16.85546875" style="174" bestFit="1" customWidth="1"/>
    <col min="14869" max="14869" width="15.140625" style="174" bestFit="1" customWidth="1"/>
    <col min="14870" max="14870" width="16.140625" style="174" customWidth="1"/>
    <col min="14871" max="14871" width="15.140625" style="174" bestFit="1" customWidth="1"/>
    <col min="14872" max="14872" width="16.85546875" style="174" bestFit="1" customWidth="1"/>
    <col min="14873" max="14874" width="15.140625" style="174" bestFit="1" customWidth="1"/>
    <col min="14875" max="14875" width="16.7109375" style="174" customWidth="1"/>
    <col min="14876" max="14876" width="16.28515625" style="174" customWidth="1"/>
    <col min="14877" max="15100" width="9.140625" style="174"/>
    <col min="15101" max="15101" width="41.28515625" style="174" customWidth="1"/>
    <col min="15102" max="15102" width="42.7109375" style="174" customWidth="1"/>
    <col min="15103" max="15103" width="9.85546875" style="174" customWidth="1"/>
    <col min="15104" max="15105" width="27" style="174" customWidth="1"/>
    <col min="15106" max="15109" width="21.7109375" style="174" customWidth="1"/>
    <col min="15110" max="15112" width="15.140625" style="174" bestFit="1" customWidth="1"/>
    <col min="15113" max="15114" width="16.85546875" style="174" bestFit="1" customWidth="1"/>
    <col min="15115" max="15119" width="15.140625" style="174" bestFit="1" customWidth="1"/>
    <col min="15120" max="15121" width="15.5703125" style="174" bestFit="1" customWidth="1"/>
    <col min="15122" max="15124" width="16.85546875" style="174" bestFit="1" customWidth="1"/>
    <col min="15125" max="15125" width="15.140625" style="174" bestFit="1" customWidth="1"/>
    <col min="15126" max="15126" width="16.140625" style="174" customWidth="1"/>
    <col min="15127" max="15127" width="15.140625" style="174" bestFit="1" customWidth="1"/>
    <col min="15128" max="15128" width="16.85546875" style="174" bestFit="1" customWidth="1"/>
    <col min="15129" max="15130" width="15.140625" style="174" bestFit="1" customWidth="1"/>
    <col min="15131" max="15131" width="16.7109375" style="174" customWidth="1"/>
    <col min="15132" max="15132" width="16.28515625" style="174" customWidth="1"/>
    <col min="15133" max="15356" width="9.140625" style="174"/>
    <col min="15357" max="15357" width="41.28515625" style="174" customWidth="1"/>
    <col min="15358" max="15358" width="42.7109375" style="174" customWidth="1"/>
    <col min="15359" max="15359" width="9.85546875" style="174" customWidth="1"/>
    <col min="15360" max="15361" width="27" style="174" customWidth="1"/>
    <col min="15362" max="15365" width="21.7109375" style="174" customWidth="1"/>
    <col min="15366" max="15368" width="15.140625" style="174" bestFit="1" customWidth="1"/>
    <col min="15369" max="15370" width="16.85546875" style="174" bestFit="1" customWidth="1"/>
    <col min="15371" max="15375" width="15.140625" style="174" bestFit="1" customWidth="1"/>
    <col min="15376" max="15377" width="15.5703125" style="174" bestFit="1" customWidth="1"/>
    <col min="15378" max="15380" width="16.85546875" style="174" bestFit="1" customWidth="1"/>
    <col min="15381" max="15381" width="15.140625" style="174" bestFit="1" customWidth="1"/>
    <col min="15382" max="15382" width="16.140625" style="174" customWidth="1"/>
    <col min="15383" max="15383" width="15.140625" style="174" bestFit="1" customWidth="1"/>
    <col min="15384" max="15384" width="16.85546875" style="174" bestFit="1" customWidth="1"/>
    <col min="15385" max="15386" width="15.140625" style="174" bestFit="1" customWidth="1"/>
    <col min="15387" max="15387" width="16.7109375" style="174" customWidth="1"/>
    <col min="15388" max="15388" width="16.28515625" style="174" customWidth="1"/>
    <col min="15389" max="15612" width="9.140625" style="174"/>
    <col min="15613" max="15613" width="41.28515625" style="174" customWidth="1"/>
    <col min="15614" max="15614" width="42.7109375" style="174" customWidth="1"/>
    <col min="15615" max="15615" width="9.85546875" style="174" customWidth="1"/>
    <col min="15616" max="15617" width="27" style="174" customWidth="1"/>
    <col min="15618" max="15621" width="21.7109375" style="174" customWidth="1"/>
    <col min="15622" max="15624" width="15.140625" style="174" bestFit="1" customWidth="1"/>
    <col min="15625" max="15626" width="16.85546875" style="174" bestFit="1" customWidth="1"/>
    <col min="15627" max="15631" width="15.140625" style="174" bestFit="1" customWidth="1"/>
    <col min="15632" max="15633" width="15.5703125" style="174" bestFit="1" customWidth="1"/>
    <col min="15634" max="15636" width="16.85546875" style="174" bestFit="1" customWidth="1"/>
    <col min="15637" max="15637" width="15.140625" style="174" bestFit="1" customWidth="1"/>
    <col min="15638" max="15638" width="16.140625" style="174" customWidth="1"/>
    <col min="15639" max="15639" width="15.140625" style="174" bestFit="1" customWidth="1"/>
    <col min="15640" max="15640" width="16.85546875" style="174" bestFit="1" customWidth="1"/>
    <col min="15641" max="15642" width="15.140625" style="174" bestFit="1" customWidth="1"/>
    <col min="15643" max="15643" width="16.7109375" style="174" customWidth="1"/>
    <col min="15644" max="15644" width="16.28515625" style="174" customWidth="1"/>
    <col min="15645" max="15868" width="9.140625" style="174"/>
    <col min="15869" max="15869" width="41.28515625" style="174" customWidth="1"/>
    <col min="15870" max="15870" width="42.7109375" style="174" customWidth="1"/>
    <col min="15871" max="15871" width="9.85546875" style="174" customWidth="1"/>
    <col min="15872" max="15873" width="27" style="174" customWidth="1"/>
    <col min="15874" max="15877" width="21.7109375" style="174" customWidth="1"/>
    <col min="15878" max="15880" width="15.140625" style="174" bestFit="1" customWidth="1"/>
    <col min="15881" max="15882" width="16.85546875" style="174" bestFit="1" customWidth="1"/>
    <col min="15883" max="15887" width="15.140625" style="174" bestFit="1" customWidth="1"/>
    <col min="15888" max="15889" width="15.5703125" style="174" bestFit="1" customWidth="1"/>
    <col min="15890" max="15892" width="16.85546875" style="174" bestFit="1" customWidth="1"/>
    <col min="15893" max="15893" width="15.140625" style="174" bestFit="1" customWidth="1"/>
    <col min="15894" max="15894" width="16.140625" style="174" customWidth="1"/>
    <col min="15895" max="15895" width="15.140625" style="174" bestFit="1" customWidth="1"/>
    <col min="15896" max="15896" width="16.85546875" style="174" bestFit="1" customWidth="1"/>
    <col min="15897" max="15898" width="15.140625" style="174" bestFit="1" customWidth="1"/>
    <col min="15899" max="15899" width="16.7109375" style="174" customWidth="1"/>
    <col min="15900" max="15900" width="16.28515625" style="174" customWidth="1"/>
    <col min="15901" max="16124" width="9.140625" style="174"/>
    <col min="16125" max="16125" width="41.28515625" style="174" customWidth="1"/>
    <col min="16126" max="16126" width="42.7109375" style="174" customWidth="1"/>
    <col min="16127" max="16127" width="9.85546875" style="174" customWidth="1"/>
    <col min="16128" max="16129" width="27" style="174" customWidth="1"/>
    <col min="16130" max="16133" width="21.7109375" style="174" customWidth="1"/>
    <col min="16134" max="16136" width="15.140625" style="174" bestFit="1" customWidth="1"/>
    <col min="16137" max="16138" width="16.85546875" style="174" bestFit="1" customWidth="1"/>
    <col min="16139" max="16143" width="15.140625" style="174" bestFit="1" customWidth="1"/>
    <col min="16144" max="16145" width="15.5703125" style="174" bestFit="1" customWidth="1"/>
    <col min="16146" max="16148" width="16.85546875" style="174" bestFit="1" customWidth="1"/>
    <col min="16149" max="16149" width="15.140625" style="174" bestFit="1" customWidth="1"/>
    <col min="16150" max="16150" width="16.140625" style="174" customWidth="1"/>
    <col min="16151" max="16151" width="15.140625" style="174" bestFit="1" customWidth="1"/>
    <col min="16152" max="16152" width="16.85546875" style="174" bestFit="1" customWidth="1"/>
    <col min="16153" max="16154" width="15.140625" style="174" bestFit="1" customWidth="1"/>
    <col min="16155" max="16155" width="16.7109375" style="174" customWidth="1"/>
    <col min="16156" max="16156" width="16.28515625" style="174" customWidth="1"/>
    <col min="16157" max="16384" width="9.140625" style="174"/>
  </cols>
  <sheetData>
    <row r="1" spans="1:32" s="163" customFormat="1" ht="43.9" customHeight="1" x14ac:dyDescent="0.25">
      <c r="A1" s="158" t="s">
        <v>518</v>
      </c>
      <c r="B1" s="159"/>
      <c r="C1" s="160"/>
      <c r="D1" s="161" t="s">
        <v>125</v>
      </c>
      <c r="E1" s="161"/>
      <c r="F1" s="161"/>
      <c r="G1" s="161"/>
      <c r="H1" s="161"/>
      <c r="I1" s="161"/>
      <c r="J1" s="162" t="s">
        <v>126</v>
      </c>
      <c r="K1" s="162"/>
      <c r="L1" s="162"/>
      <c r="M1" s="162"/>
      <c r="N1" s="162"/>
      <c r="O1" s="162"/>
      <c r="P1" s="161" t="s">
        <v>127</v>
      </c>
      <c r="Q1" s="161"/>
      <c r="R1" s="162" t="s">
        <v>128</v>
      </c>
      <c r="S1" s="162"/>
      <c r="T1" s="161" t="s">
        <v>0</v>
      </c>
      <c r="U1" s="161"/>
      <c r="V1" s="161"/>
      <c r="W1" s="161"/>
      <c r="X1" s="161"/>
      <c r="Y1" s="162" t="s">
        <v>1</v>
      </c>
      <c r="Z1" s="162"/>
      <c r="AA1" s="162"/>
      <c r="AB1" s="162"/>
      <c r="AC1" s="161" t="s">
        <v>2</v>
      </c>
      <c r="AD1" s="161"/>
      <c r="AE1" s="162" t="s">
        <v>3</v>
      </c>
      <c r="AF1" s="162"/>
    </row>
    <row r="2" spans="1:32" s="163" customFormat="1" ht="46.15" customHeight="1" x14ac:dyDescent="0.25">
      <c r="A2" s="164"/>
      <c r="B2" s="165"/>
      <c r="C2" s="166"/>
      <c r="D2" s="167" t="s">
        <v>9</v>
      </c>
      <c r="E2" s="167" t="s">
        <v>10</v>
      </c>
      <c r="F2" s="167" t="s">
        <v>11</v>
      </c>
      <c r="G2" s="167" t="s">
        <v>12</v>
      </c>
      <c r="H2" s="167" t="s">
        <v>13</v>
      </c>
      <c r="I2" s="167" t="s">
        <v>14</v>
      </c>
      <c r="J2" s="168" t="s">
        <v>120</v>
      </c>
      <c r="K2" s="168" t="s">
        <v>15</v>
      </c>
      <c r="L2" s="168" t="s">
        <v>16</v>
      </c>
      <c r="M2" s="168" t="s">
        <v>17</v>
      </c>
      <c r="N2" s="168" t="s">
        <v>18</v>
      </c>
      <c r="O2" s="168" t="s">
        <v>19</v>
      </c>
      <c r="P2" s="169" t="s">
        <v>20</v>
      </c>
      <c r="Q2" s="170" t="s">
        <v>21</v>
      </c>
      <c r="R2" s="168" t="s">
        <v>22</v>
      </c>
      <c r="S2" s="168" t="s">
        <v>23</v>
      </c>
      <c r="T2" s="170" t="s">
        <v>24</v>
      </c>
      <c r="U2" s="170" t="s">
        <v>25</v>
      </c>
      <c r="V2" s="170" t="s">
        <v>26</v>
      </c>
      <c r="W2" s="170" t="s">
        <v>27</v>
      </c>
      <c r="X2" s="170" t="s">
        <v>28</v>
      </c>
      <c r="Y2" s="168" t="s">
        <v>29</v>
      </c>
      <c r="Z2" s="168" t="s">
        <v>30</v>
      </c>
      <c r="AA2" s="168" t="s">
        <v>31</v>
      </c>
      <c r="AB2" s="168" t="s">
        <v>32</v>
      </c>
      <c r="AC2" s="170" t="s">
        <v>33</v>
      </c>
      <c r="AD2" s="170" t="s">
        <v>34</v>
      </c>
      <c r="AE2" s="168" t="s">
        <v>35</v>
      </c>
      <c r="AF2" s="168" t="s">
        <v>36</v>
      </c>
    </row>
    <row r="3" spans="1:32" s="174" customFormat="1" ht="40.15" customHeight="1" x14ac:dyDescent="0.2">
      <c r="A3" s="83" t="s">
        <v>82</v>
      </c>
      <c r="B3" s="83" t="s">
        <v>129</v>
      </c>
      <c r="C3" s="149"/>
      <c r="D3" s="171" t="s">
        <v>184</v>
      </c>
      <c r="E3" s="171" t="s">
        <v>185</v>
      </c>
      <c r="F3" s="171" t="s">
        <v>186</v>
      </c>
      <c r="G3" s="171" t="s">
        <v>187</v>
      </c>
      <c r="H3" s="171" t="s">
        <v>188</v>
      </c>
      <c r="I3" s="171" t="s">
        <v>189</v>
      </c>
      <c r="J3" s="172" t="s">
        <v>190</v>
      </c>
      <c r="K3" s="172" t="s">
        <v>191</v>
      </c>
      <c r="L3" s="172" t="s">
        <v>192</v>
      </c>
      <c r="M3" s="172" t="s">
        <v>193</v>
      </c>
      <c r="N3" s="172" t="s">
        <v>194</v>
      </c>
      <c r="O3" s="172" t="s">
        <v>195</v>
      </c>
      <c r="P3" s="173" t="s">
        <v>196</v>
      </c>
      <c r="Q3" s="171" t="s">
        <v>197</v>
      </c>
      <c r="R3" s="172" t="s">
        <v>198</v>
      </c>
      <c r="S3" s="172" t="s">
        <v>199</v>
      </c>
      <c r="T3" s="171" t="s">
        <v>200</v>
      </c>
      <c r="U3" s="171" t="s">
        <v>201</v>
      </c>
      <c r="V3" s="171" t="s">
        <v>202</v>
      </c>
      <c r="W3" s="171" t="s">
        <v>203</v>
      </c>
      <c r="X3" s="171" t="s">
        <v>204</v>
      </c>
      <c r="Y3" s="172" t="s">
        <v>205</v>
      </c>
      <c r="Z3" s="172" t="s">
        <v>206</v>
      </c>
      <c r="AA3" s="172" t="s">
        <v>207</v>
      </c>
      <c r="AB3" s="172" t="s">
        <v>208</v>
      </c>
      <c r="AC3" s="171" t="s">
        <v>209</v>
      </c>
      <c r="AD3" s="171" t="s">
        <v>210</v>
      </c>
      <c r="AE3" s="172" t="s">
        <v>211</v>
      </c>
      <c r="AF3" s="172" t="s">
        <v>212</v>
      </c>
    </row>
    <row r="4" spans="1:32" s="174" customFormat="1" ht="32.450000000000003" customHeight="1" x14ac:dyDescent="0.2">
      <c r="A4" s="19" t="s">
        <v>176</v>
      </c>
      <c r="B4" s="152" t="s">
        <v>175</v>
      </c>
      <c r="C4" s="175" t="s">
        <v>101</v>
      </c>
      <c r="D4" s="52" t="s">
        <v>130</v>
      </c>
      <c r="E4" s="52" t="s">
        <v>131</v>
      </c>
      <c r="F4" s="176" t="s">
        <v>132</v>
      </c>
      <c r="G4" s="176" t="s">
        <v>133</v>
      </c>
      <c r="H4" s="176" t="s">
        <v>134</v>
      </c>
      <c r="I4" s="52" t="s">
        <v>135</v>
      </c>
      <c r="J4" s="177" t="s">
        <v>136</v>
      </c>
      <c r="K4" s="177" t="s">
        <v>130</v>
      </c>
      <c r="L4" s="177" t="s">
        <v>137</v>
      </c>
      <c r="M4" s="178" t="s">
        <v>138</v>
      </c>
      <c r="N4" s="178" t="s">
        <v>139</v>
      </c>
      <c r="O4" s="177" t="s">
        <v>140</v>
      </c>
      <c r="P4" s="52" t="s">
        <v>130</v>
      </c>
      <c r="Q4" s="52" t="s">
        <v>131</v>
      </c>
      <c r="R4" s="177" t="s">
        <v>136</v>
      </c>
      <c r="S4" s="177" t="s">
        <v>130</v>
      </c>
      <c r="T4" s="52" t="s">
        <v>130</v>
      </c>
      <c r="U4" s="52" t="s">
        <v>131</v>
      </c>
      <c r="V4" s="176" t="s">
        <v>132</v>
      </c>
      <c r="W4" s="176" t="s">
        <v>133</v>
      </c>
      <c r="X4" s="176" t="s">
        <v>134</v>
      </c>
      <c r="Y4" s="177" t="s">
        <v>136</v>
      </c>
      <c r="Z4" s="177" t="s">
        <v>130</v>
      </c>
      <c r="AA4" s="177" t="s">
        <v>137</v>
      </c>
      <c r="AB4" s="178" t="s">
        <v>138</v>
      </c>
      <c r="AC4" s="52" t="s">
        <v>130</v>
      </c>
      <c r="AD4" s="52" t="s">
        <v>131</v>
      </c>
      <c r="AE4" s="177" t="s">
        <v>136</v>
      </c>
      <c r="AF4" s="177" t="s">
        <v>130</v>
      </c>
    </row>
    <row r="5" spans="1:32" s="180" customFormat="1" ht="32.450000000000003" customHeight="1" x14ac:dyDescent="0.25">
      <c r="A5" s="179" t="s">
        <v>141</v>
      </c>
      <c r="B5" s="152" t="s">
        <v>142</v>
      </c>
      <c r="C5" s="175" t="s">
        <v>101</v>
      </c>
      <c r="D5" s="52">
        <v>1200</v>
      </c>
      <c r="E5" s="52">
        <v>1350</v>
      </c>
      <c r="F5" s="52">
        <v>1500</v>
      </c>
      <c r="G5" s="52">
        <v>1700</v>
      </c>
      <c r="H5" s="52">
        <v>1900</v>
      </c>
      <c r="I5" s="52">
        <v>2200</v>
      </c>
      <c r="J5" s="177">
        <v>1200</v>
      </c>
      <c r="K5" s="177">
        <v>1350</v>
      </c>
      <c r="L5" s="177">
        <v>1500</v>
      </c>
      <c r="M5" s="177">
        <v>1700</v>
      </c>
      <c r="N5" s="177">
        <v>1900</v>
      </c>
      <c r="O5" s="177">
        <v>2200</v>
      </c>
      <c r="P5" s="52">
        <v>1200</v>
      </c>
      <c r="Q5" s="52">
        <v>1350</v>
      </c>
      <c r="R5" s="177">
        <v>1200</v>
      </c>
      <c r="S5" s="177">
        <v>1350</v>
      </c>
      <c r="T5" s="52">
        <v>1200</v>
      </c>
      <c r="U5" s="52">
        <v>1350</v>
      </c>
      <c r="V5" s="52">
        <v>1500</v>
      </c>
      <c r="W5" s="52">
        <v>1700</v>
      </c>
      <c r="X5" s="52">
        <v>1900</v>
      </c>
      <c r="Y5" s="177">
        <v>1200</v>
      </c>
      <c r="Z5" s="177">
        <v>1350</v>
      </c>
      <c r="AA5" s="177">
        <v>1500</v>
      </c>
      <c r="AB5" s="177">
        <v>1700</v>
      </c>
      <c r="AC5" s="52">
        <v>1200</v>
      </c>
      <c r="AD5" s="52">
        <v>1350</v>
      </c>
      <c r="AE5" s="177">
        <v>1200</v>
      </c>
      <c r="AF5" s="177">
        <v>1350</v>
      </c>
    </row>
    <row r="6" spans="1:32" s="174" customFormat="1" ht="32.450000000000003" customHeight="1" x14ac:dyDescent="0.2">
      <c r="A6" s="179" t="s">
        <v>143</v>
      </c>
      <c r="B6" s="152" t="s">
        <v>144</v>
      </c>
      <c r="C6" s="175" t="s">
        <v>101</v>
      </c>
      <c r="D6" s="52">
        <v>700</v>
      </c>
      <c r="E6" s="52">
        <v>700</v>
      </c>
      <c r="F6" s="52">
        <v>850</v>
      </c>
      <c r="G6" s="52">
        <v>850</v>
      </c>
      <c r="H6" s="52">
        <v>850</v>
      </c>
      <c r="I6" s="52">
        <v>850</v>
      </c>
      <c r="J6" s="177">
        <v>700</v>
      </c>
      <c r="K6" s="177">
        <v>700</v>
      </c>
      <c r="L6" s="177">
        <v>800</v>
      </c>
      <c r="M6" s="177">
        <v>800</v>
      </c>
      <c r="N6" s="177">
        <v>800</v>
      </c>
      <c r="O6" s="177">
        <v>800</v>
      </c>
      <c r="P6" s="52">
        <v>700</v>
      </c>
      <c r="Q6" s="52">
        <v>700</v>
      </c>
      <c r="R6" s="177">
        <v>700</v>
      </c>
      <c r="S6" s="177">
        <v>700</v>
      </c>
      <c r="T6" s="52">
        <v>700</v>
      </c>
      <c r="U6" s="52">
        <v>700</v>
      </c>
      <c r="V6" s="52">
        <v>850</v>
      </c>
      <c r="W6" s="52">
        <v>850</v>
      </c>
      <c r="X6" s="52">
        <v>850</v>
      </c>
      <c r="Y6" s="177">
        <v>700</v>
      </c>
      <c r="Z6" s="177">
        <v>700</v>
      </c>
      <c r="AA6" s="177">
        <v>800</v>
      </c>
      <c r="AB6" s="177">
        <v>800</v>
      </c>
      <c r="AC6" s="52">
        <v>700</v>
      </c>
      <c r="AD6" s="52">
        <v>700</v>
      </c>
      <c r="AE6" s="177">
        <v>700</v>
      </c>
      <c r="AF6" s="177">
        <v>700</v>
      </c>
    </row>
    <row r="7" spans="1:32" s="174" customFormat="1" ht="32.450000000000003" customHeight="1" x14ac:dyDescent="0.2">
      <c r="A7" s="179" t="s">
        <v>145</v>
      </c>
      <c r="B7" s="152" t="s">
        <v>146</v>
      </c>
      <c r="C7" s="175" t="s">
        <v>102</v>
      </c>
      <c r="D7" s="52">
        <v>350</v>
      </c>
      <c r="E7" s="52">
        <v>400</v>
      </c>
      <c r="F7" s="52">
        <v>750</v>
      </c>
      <c r="G7" s="52">
        <v>1000</v>
      </c>
      <c r="H7" s="52">
        <v>1000</v>
      </c>
      <c r="I7" s="52">
        <v>1250</v>
      </c>
      <c r="J7" s="177">
        <v>500</v>
      </c>
      <c r="K7" s="177">
        <v>650</v>
      </c>
      <c r="L7" s="177">
        <v>1500</v>
      </c>
      <c r="M7" s="177">
        <v>1500</v>
      </c>
      <c r="N7" s="177">
        <v>2000</v>
      </c>
      <c r="O7" s="177">
        <v>2000</v>
      </c>
      <c r="P7" s="52">
        <v>350</v>
      </c>
      <c r="Q7" s="52">
        <v>400</v>
      </c>
      <c r="R7" s="177">
        <v>500</v>
      </c>
      <c r="S7" s="177">
        <v>650</v>
      </c>
      <c r="T7" s="52">
        <v>350</v>
      </c>
      <c r="U7" s="52">
        <v>400</v>
      </c>
      <c r="V7" s="52">
        <v>750</v>
      </c>
      <c r="W7" s="52">
        <v>1000</v>
      </c>
      <c r="X7" s="52">
        <v>1000</v>
      </c>
      <c r="Y7" s="177">
        <v>500</v>
      </c>
      <c r="Z7" s="177">
        <v>650</v>
      </c>
      <c r="AA7" s="177">
        <v>1500</v>
      </c>
      <c r="AB7" s="177">
        <v>1500</v>
      </c>
      <c r="AC7" s="52">
        <v>350</v>
      </c>
      <c r="AD7" s="52">
        <v>400</v>
      </c>
      <c r="AE7" s="177">
        <v>500</v>
      </c>
      <c r="AF7" s="177">
        <v>650</v>
      </c>
    </row>
    <row r="8" spans="1:32" s="174" customFormat="1" ht="32.450000000000003" customHeight="1" x14ac:dyDescent="0.2">
      <c r="A8" s="179" t="s">
        <v>147</v>
      </c>
      <c r="B8" s="152" t="s">
        <v>148</v>
      </c>
      <c r="C8" s="175" t="s">
        <v>103</v>
      </c>
      <c r="D8" s="181">
        <v>150</v>
      </c>
      <c r="E8" s="181">
        <v>200</v>
      </c>
      <c r="F8" s="181">
        <v>350</v>
      </c>
      <c r="G8" s="181">
        <v>350</v>
      </c>
      <c r="H8" s="181">
        <v>350</v>
      </c>
      <c r="I8" s="181">
        <v>450</v>
      </c>
      <c r="J8" s="177">
        <v>150</v>
      </c>
      <c r="K8" s="177">
        <v>200</v>
      </c>
      <c r="L8" s="177">
        <v>350</v>
      </c>
      <c r="M8" s="177">
        <v>350</v>
      </c>
      <c r="N8" s="177">
        <v>350</v>
      </c>
      <c r="O8" s="177">
        <v>450</v>
      </c>
      <c r="P8" s="52">
        <v>150</v>
      </c>
      <c r="Q8" s="52">
        <v>200</v>
      </c>
      <c r="R8" s="177">
        <v>150</v>
      </c>
      <c r="S8" s="177">
        <v>200</v>
      </c>
      <c r="T8" s="52">
        <v>150</v>
      </c>
      <c r="U8" s="52">
        <v>200</v>
      </c>
      <c r="V8" s="52">
        <v>350</v>
      </c>
      <c r="W8" s="52">
        <v>350</v>
      </c>
      <c r="X8" s="52">
        <v>450</v>
      </c>
      <c r="Y8" s="177">
        <v>150</v>
      </c>
      <c r="Z8" s="177">
        <v>200</v>
      </c>
      <c r="AA8" s="177">
        <v>350</v>
      </c>
      <c r="AB8" s="177">
        <v>350</v>
      </c>
      <c r="AC8" s="52">
        <v>150</v>
      </c>
      <c r="AD8" s="52">
        <v>200</v>
      </c>
      <c r="AE8" s="177">
        <v>150</v>
      </c>
      <c r="AF8" s="177">
        <v>200</v>
      </c>
    </row>
    <row r="9" spans="1:32" s="174" customFormat="1" ht="32.450000000000003" customHeight="1" x14ac:dyDescent="0.2">
      <c r="A9" s="179" t="s">
        <v>149</v>
      </c>
      <c r="B9" s="152" t="s">
        <v>150</v>
      </c>
      <c r="C9" s="175" t="s">
        <v>111</v>
      </c>
      <c r="D9" s="52">
        <v>85</v>
      </c>
      <c r="E9" s="52">
        <v>85</v>
      </c>
      <c r="F9" s="52">
        <v>85</v>
      </c>
      <c r="G9" s="52">
        <v>85</v>
      </c>
      <c r="H9" s="52">
        <v>85</v>
      </c>
      <c r="I9" s="52">
        <v>85</v>
      </c>
      <c r="J9" s="182">
        <v>85</v>
      </c>
      <c r="K9" s="182">
        <v>85</v>
      </c>
      <c r="L9" s="182">
        <v>85</v>
      </c>
      <c r="M9" s="182">
        <v>85</v>
      </c>
      <c r="N9" s="182">
        <v>85</v>
      </c>
      <c r="O9" s="182">
        <v>85</v>
      </c>
      <c r="P9" s="52">
        <v>85</v>
      </c>
      <c r="Q9" s="52">
        <v>85</v>
      </c>
      <c r="R9" s="182">
        <v>85</v>
      </c>
      <c r="S9" s="182">
        <v>85</v>
      </c>
      <c r="T9" s="52">
        <v>85</v>
      </c>
      <c r="U9" s="52">
        <v>85</v>
      </c>
      <c r="V9" s="52">
        <v>85</v>
      </c>
      <c r="W9" s="52">
        <v>85</v>
      </c>
      <c r="X9" s="52">
        <v>85</v>
      </c>
      <c r="Y9" s="182">
        <v>85</v>
      </c>
      <c r="Z9" s="182">
        <v>85</v>
      </c>
      <c r="AA9" s="182">
        <v>85</v>
      </c>
      <c r="AB9" s="182">
        <v>85</v>
      </c>
      <c r="AC9" s="52">
        <v>85</v>
      </c>
      <c r="AD9" s="52">
        <v>85</v>
      </c>
      <c r="AE9" s="182">
        <v>85</v>
      </c>
      <c r="AF9" s="182">
        <v>85</v>
      </c>
    </row>
    <row r="10" spans="1:32" s="174" customFormat="1" ht="32.450000000000003" customHeight="1" x14ac:dyDescent="0.2">
      <c r="A10" s="179" t="s">
        <v>151</v>
      </c>
      <c r="B10" s="152" t="s">
        <v>152</v>
      </c>
      <c r="C10" s="175" t="s">
        <v>153</v>
      </c>
      <c r="D10" s="52" t="s">
        <v>215</v>
      </c>
      <c r="E10" s="52" t="s">
        <v>215</v>
      </c>
      <c r="F10" s="52" t="s">
        <v>215</v>
      </c>
      <c r="G10" s="52" t="s">
        <v>215</v>
      </c>
      <c r="H10" s="52" t="s">
        <v>215</v>
      </c>
      <c r="I10" s="52" t="s">
        <v>215</v>
      </c>
      <c r="J10" s="177" t="s">
        <v>215</v>
      </c>
      <c r="K10" s="177" t="s">
        <v>215</v>
      </c>
      <c r="L10" s="177" t="s">
        <v>215</v>
      </c>
      <c r="M10" s="177" t="s">
        <v>215</v>
      </c>
      <c r="N10" s="177" t="s">
        <v>215</v>
      </c>
      <c r="O10" s="177" t="s">
        <v>215</v>
      </c>
      <c r="P10" s="52" t="s">
        <v>215</v>
      </c>
      <c r="Q10" s="52" t="s">
        <v>215</v>
      </c>
      <c r="R10" s="177" t="s">
        <v>215</v>
      </c>
      <c r="S10" s="177" t="s">
        <v>215</v>
      </c>
      <c r="T10" s="52" t="s">
        <v>215</v>
      </c>
      <c r="U10" s="52" t="s">
        <v>215</v>
      </c>
      <c r="V10" s="52" t="s">
        <v>215</v>
      </c>
      <c r="W10" s="52" t="s">
        <v>215</v>
      </c>
      <c r="X10" s="52" t="s">
        <v>215</v>
      </c>
      <c r="Y10" s="177" t="s">
        <v>215</v>
      </c>
      <c r="Z10" s="177" t="s">
        <v>215</v>
      </c>
      <c r="AA10" s="177" t="s">
        <v>215</v>
      </c>
      <c r="AB10" s="177" t="s">
        <v>215</v>
      </c>
      <c r="AC10" s="52" t="s">
        <v>215</v>
      </c>
      <c r="AD10" s="52" t="s">
        <v>215</v>
      </c>
      <c r="AE10" s="177" t="s">
        <v>215</v>
      </c>
      <c r="AF10" s="177" t="s">
        <v>215</v>
      </c>
    </row>
    <row r="11" spans="1:32" s="174" customFormat="1" ht="32.450000000000003" customHeight="1" x14ac:dyDescent="0.2">
      <c r="A11" s="179" t="s">
        <v>154</v>
      </c>
      <c r="B11" s="152" t="s">
        <v>155</v>
      </c>
      <c r="C11" s="175" t="s">
        <v>105</v>
      </c>
      <c r="D11" s="52">
        <v>2.2000000000000002</v>
      </c>
      <c r="E11" s="52">
        <v>3</v>
      </c>
      <c r="F11" s="52">
        <v>2.2000000000000002</v>
      </c>
      <c r="G11" s="52">
        <v>3</v>
      </c>
      <c r="H11" s="52">
        <v>4</v>
      </c>
      <c r="I11" s="52">
        <v>4</v>
      </c>
      <c r="J11" s="177">
        <v>2.2000000000000002</v>
      </c>
      <c r="K11" s="177">
        <v>3</v>
      </c>
      <c r="L11" s="177">
        <v>2.2000000000000002</v>
      </c>
      <c r="M11" s="177">
        <v>3</v>
      </c>
      <c r="N11" s="177">
        <v>4</v>
      </c>
      <c r="O11" s="177">
        <v>4</v>
      </c>
      <c r="P11" s="52">
        <v>2.2000000000000002</v>
      </c>
      <c r="Q11" s="52">
        <v>3</v>
      </c>
      <c r="R11" s="177">
        <v>2.2000000000000002</v>
      </c>
      <c r="S11" s="177">
        <v>3</v>
      </c>
      <c r="T11" s="52">
        <v>2.2000000000000002</v>
      </c>
      <c r="U11" s="52">
        <v>3</v>
      </c>
      <c r="V11" s="52">
        <v>2.2000000000000002</v>
      </c>
      <c r="W11" s="52">
        <v>3</v>
      </c>
      <c r="X11" s="52">
        <v>4</v>
      </c>
      <c r="Y11" s="177">
        <v>2.2000000000000002</v>
      </c>
      <c r="Z11" s="177">
        <v>3</v>
      </c>
      <c r="AA11" s="177">
        <v>2.2000000000000002</v>
      </c>
      <c r="AB11" s="177">
        <v>3</v>
      </c>
      <c r="AC11" s="52">
        <v>2.2000000000000002</v>
      </c>
      <c r="AD11" s="52">
        <v>3</v>
      </c>
      <c r="AE11" s="177">
        <v>2.2000000000000002</v>
      </c>
      <c r="AF11" s="177">
        <v>3</v>
      </c>
    </row>
    <row r="12" spans="1:32" s="174" customFormat="1" ht="32.450000000000003" customHeight="1" x14ac:dyDescent="0.2">
      <c r="A12" s="179" t="s">
        <v>156</v>
      </c>
      <c r="B12" s="152" t="s">
        <v>157</v>
      </c>
      <c r="C12" s="175" t="s">
        <v>158</v>
      </c>
      <c r="D12" s="52">
        <v>1</v>
      </c>
      <c r="E12" s="52">
        <v>1</v>
      </c>
      <c r="F12" s="52">
        <v>2</v>
      </c>
      <c r="G12" s="52">
        <v>2</v>
      </c>
      <c r="H12" s="52">
        <v>2</v>
      </c>
      <c r="I12" s="52">
        <v>2</v>
      </c>
      <c r="J12" s="177">
        <v>1</v>
      </c>
      <c r="K12" s="177">
        <v>1</v>
      </c>
      <c r="L12" s="177">
        <v>2</v>
      </c>
      <c r="M12" s="177">
        <v>2</v>
      </c>
      <c r="N12" s="177">
        <v>2</v>
      </c>
      <c r="O12" s="177">
        <v>2</v>
      </c>
      <c r="P12" s="52">
        <v>1</v>
      </c>
      <c r="Q12" s="52">
        <v>1</v>
      </c>
      <c r="R12" s="177">
        <v>1</v>
      </c>
      <c r="S12" s="177">
        <v>1</v>
      </c>
      <c r="T12" s="52">
        <v>1</v>
      </c>
      <c r="U12" s="52">
        <v>1</v>
      </c>
      <c r="V12" s="52">
        <v>2</v>
      </c>
      <c r="W12" s="52">
        <v>2</v>
      </c>
      <c r="X12" s="52">
        <v>2</v>
      </c>
      <c r="Y12" s="177">
        <v>1</v>
      </c>
      <c r="Z12" s="177">
        <v>1</v>
      </c>
      <c r="AA12" s="177">
        <v>2</v>
      </c>
      <c r="AB12" s="177">
        <v>2</v>
      </c>
      <c r="AC12" s="52">
        <v>1</v>
      </c>
      <c r="AD12" s="52">
        <v>1</v>
      </c>
      <c r="AE12" s="177">
        <v>1</v>
      </c>
      <c r="AF12" s="177">
        <v>1</v>
      </c>
    </row>
    <row r="13" spans="1:32" s="188" customFormat="1" ht="32.450000000000003" customHeight="1" x14ac:dyDescent="0.2">
      <c r="A13" s="183" t="s">
        <v>159</v>
      </c>
      <c r="B13" s="184" t="s">
        <v>160</v>
      </c>
      <c r="C13" s="185" t="s">
        <v>161</v>
      </c>
      <c r="D13" s="186" t="s">
        <v>472</v>
      </c>
      <c r="E13" s="186" t="s">
        <v>472</v>
      </c>
      <c r="F13" s="186" t="s">
        <v>472</v>
      </c>
      <c r="G13" s="186" t="s">
        <v>472</v>
      </c>
      <c r="H13" s="186" t="s">
        <v>472</v>
      </c>
      <c r="I13" s="186" t="s">
        <v>472</v>
      </c>
      <c r="J13" s="187" t="s">
        <v>472</v>
      </c>
      <c r="K13" s="187" t="s">
        <v>472</v>
      </c>
      <c r="L13" s="187" t="s">
        <v>472</v>
      </c>
      <c r="M13" s="187" t="s">
        <v>472</v>
      </c>
      <c r="N13" s="187" t="s">
        <v>472</v>
      </c>
      <c r="O13" s="187" t="s">
        <v>472</v>
      </c>
      <c r="P13" s="186" t="s">
        <v>472</v>
      </c>
      <c r="Q13" s="186" t="s">
        <v>472</v>
      </c>
      <c r="R13" s="187" t="s">
        <v>472</v>
      </c>
      <c r="S13" s="187" t="s">
        <v>472</v>
      </c>
      <c r="T13" s="186" t="s">
        <v>472</v>
      </c>
      <c r="U13" s="186" t="s">
        <v>472</v>
      </c>
      <c r="V13" s="186" t="s">
        <v>472</v>
      </c>
      <c r="W13" s="186" t="s">
        <v>472</v>
      </c>
      <c r="X13" s="186" t="s">
        <v>472</v>
      </c>
      <c r="Y13" s="187" t="s">
        <v>472</v>
      </c>
      <c r="Z13" s="187" t="s">
        <v>472</v>
      </c>
      <c r="AA13" s="187" t="s">
        <v>472</v>
      </c>
      <c r="AB13" s="187" t="s">
        <v>472</v>
      </c>
      <c r="AC13" s="186" t="s">
        <v>472</v>
      </c>
      <c r="AD13" s="186" t="s">
        <v>472</v>
      </c>
      <c r="AE13" s="187" t="s">
        <v>472</v>
      </c>
      <c r="AF13" s="187" t="s">
        <v>472</v>
      </c>
    </row>
    <row r="14" spans="1:32" s="174" customFormat="1" ht="32.450000000000003" customHeight="1" x14ac:dyDescent="0.2">
      <c r="A14" s="179" t="s">
        <v>162</v>
      </c>
      <c r="B14" s="152" t="s">
        <v>473</v>
      </c>
      <c r="C14" s="175" t="s">
        <v>105</v>
      </c>
      <c r="D14" s="189"/>
      <c r="E14" s="189"/>
      <c r="F14" s="189"/>
      <c r="G14" s="189"/>
      <c r="H14" s="189"/>
      <c r="I14" s="189"/>
      <c r="J14" s="190"/>
      <c r="K14" s="190"/>
      <c r="L14" s="190"/>
      <c r="M14" s="190"/>
      <c r="N14" s="190"/>
      <c r="O14" s="190"/>
      <c r="P14" s="189"/>
      <c r="Q14" s="189"/>
      <c r="R14" s="190"/>
      <c r="S14" s="190"/>
      <c r="T14" s="52">
        <v>3</v>
      </c>
      <c r="U14" s="52">
        <v>3</v>
      </c>
      <c r="V14" s="52">
        <v>3</v>
      </c>
      <c r="W14" s="52">
        <v>3</v>
      </c>
      <c r="X14" s="52">
        <v>3</v>
      </c>
      <c r="Y14" s="177">
        <v>3</v>
      </c>
      <c r="Z14" s="177">
        <v>3</v>
      </c>
      <c r="AA14" s="177">
        <v>3</v>
      </c>
      <c r="AB14" s="177">
        <v>3</v>
      </c>
      <c r="AC14" s="52">
        <v>3</v>
      </c>
      <c r="AD14" s="52">
        <v>3</v>
      </c>
      <c r="AE14" s="177">
        <v>3</v>
      </c>
      <c r="AF14" s="177">
        <v>3</v>
      </c>
    </row>
    <row r="15" spans="1:32" s="174" customFormat="1" ht="32.450000000000003" customHeight="1" x14ac:dyDescent="0.2">
      <c r="A15" s="179" t="s">
        <v>163</v>
      </c>
      <c r="B15" s="152" t="s">
        <v>219</v>
      </c>
      <c r="C15" s="175" t="s">
        <v>164</v>
      </c>
      <c r="D15" s="189"/>
      <c r="E15" s="189"/>
      <c r="F15" s="189"/>
      <c r="G15" s="189"/>
      <c r="H15" s="189"/>
      <c r="I15" s="189"/>
      <c r="J15" s="190"/>
      <c r="K15" s="190"/>
      <c r="L15" s="190"/>
      <c r="M15" s="190"/>
      <c r="N15" s="190"/>
      <c r="O15" s="190"/>
      <c r="P15" s="189"/>
      <c r="Q15" s="189"/>
      <c r="R15" s="190"/>
      <c r="S15" s="190"/>
      <c r="T15" s="52" t="s">
        <v>165</v>
      </c>
      <c r="U15" s="52" t="s">
        <v>165</v>
      </c>
      <c r="V15" s="52" t="s">
        <v>165</v>
      </c>
      <c r="W15" s="52" t="s">
        <v>165</v>
      </c>
      <c r="X15" s="52" t="s">
        <v>165</v>
      </c>
      <c r="Y15" s="177" t="s">
        <v>165</v>
      </c>
      <c r="Z15" s="177" t="s">
        <v>165</v>
      </c>
      <c r="AA15" s="177" t="s">
        <v>165</v>
      </c>
      <c r="AB15" s="177" t="s">
        <v>165</v>
      </c>
      <c r="AC15" s="52" t="s">
        <v>165</v>
      </c>
      <c r="AD15" s="52" t="s">
        <v>165</v>
      </c>
      <c r="AE15" s="177" t="s">
        <v>165</v>
      </c>
      <c r="AF15" s="177" t="s">
        <v>165</v>
      </c>
    </row>
    <row r="16" spans="1:32" s="174" customFormat="1" ht="32.450000000000003" customHeight="1" x14ac:dyDescent="0.2">
      <c r="A16" s="179" t="s">
        <v>166</v>
      </c>
      <c r="B16" s="152" t="s">
        <v>474</v>
      </c>
      <c r="C16" s="175"/>
      <c r="D16" s="52" t="s">
        <v>168</v>
      </c>
      <c r="E16" s="52" t="s">
        <v>168</v>
      </c>
      <c r="F16" s="52" t="s">
        <v>168</v>
      </c>
      <c r="G16" s="52" t="s">
        <v>168</v>
      </c>
      <c r="H16" s="52" t="s">
        <v>168</v>
      </c>
      <c r="I16" s="52" t="s">
        <v>168</v>
      </c>
      <c r="J16" s="177" t="s">
        <v>168</v>
      </c>
      <c r="K16" s="177" t="s">
        <v>168</v>
      </c>
      <c r="L16" s="177" t="s">
        <v>168</v>
      </c>
      <c r="M16" s="177" t="s">
        <v>168</v>
      </c>
      <c r="N16" s="177" t="s">
        <v>168</v>
      </c>
      <c r="O16" s="177" t="s">
        <v>168</v>
      </c>
      <c r="P16" s="52" t="s">
        <v>168</v>
      </c>
      <c r="Q16" s="52" t="s">
        <v>168</v>
      </c>
      <c r="R16" s="177" t="s">
        <v>168</v>
      </c>
      <c r="S16" s="177" t="s">
        <v>168</v>
      </c>
      <c r="T16" s="52" t="s">
        <v>168</v>
      </c>
      <c r="U16" s="52" t="s">
        <v>168</v>
      </c>
      <c r="V16" s="52" t="s">
        <v>168</v>
      </c>
      <c r="W16" s="52" t="s">
        <v>168</v>
      </c>
      <c r="X16" s="52" t="s">
        <v>168</v>
      </c>
      <c r="Y16" s="177" t="s">
        <v>168</v>
      </c>
      <c r="Z16" s="177" t="s">
        <v>168</v>
      </c>
      <c r="AA16" s="177" t="s">
        <v>168</v>
      </c>
      <c r="AB16" s="177" t="s">
        <v>168</v>
      </c>
      <c r="AC16" s="52" t="s">
        <v>168</v>
      </c>
      <c r="AD16" s="52" t="s">
        <v>168</v>
      </c>
      <c r="AE16" s="177" t="s">
        <v>168</v>
      </c>
      <c r="AF16" s="177" t="s">
        <v>168</v>
      </c>
    </row>
    <row r="17" spans="1:32" s="174" customFormat="1" ht="32.450000000000003" customHeight="1" x14ac:dyDescent="0.2">
      <c r="A17" s="179" t="s">
        <v>169</v>
      </c>
      <c r="B17" s="8" t="s">
        <v>477</v>
      </c>
      <c r="C17" s="175" t="s">
        <v>105</v>
      </c>
      <c r="D17" s="52">
        <v>8.25</v>
      </c>
      <c r="E17" s="52">
        <v>8.25</v>
      </c>
      <c r="F17" s="52">
        <v>16.5</v>
      </c>
      <c r="G17" s="52">
        <v>16.5</v>
      </c>
      <c r="H17" s="52">
        <v>16.5</v>
      </c>
      <c r="I17" s="52">
        <v>16.5</v>
      </c>
      <c r="J17" s="177">
        <v>8.25</v>
      </c>
      <c r="K17" s="177">
        <v>8.25</v>
      </c>
      <c r="L17" s="177">
        <v>16.5</v>
      </c>
      <c r="M17" s="177">
        <v>16.5</v>
      </c>
      <c r="N17" s="177">
        <v>16.5</v>
      </c>
      <c r="O17" s="177">
        <v>16.5</v>
      </c>
      <c r="P17" s="52">
        <v>8.25</v>
      </c>
      <c r="Q17" s="52">
        <v>8.25</v>
      </c>
      <c r="R17" s="177">
        <v>8.25</v>
      </c>
      <c r="S17" s="177">
        <v>8.25</v>
      </c>
      <c r="T17" s="52">
        <v>8.25</v>
      </c>
      <c r="U17" s="52">
        <v>8.25</v>
      </c>
      <c r="V17" s="52">
        <v>16</v>
      </c>
      <c r="W17" s="52">
        <v>16</v>
      </c>
      <c r="X17" s="52">
        <v>16</v>
      </c>
      <c r="Y17" s="177">
        <v>8</v>
      </c>
      <c r="Z17" s="177">
        <v>8</v>
      </c>
      <c r="AA17" s="177">
        <v>16</v>
      </c>
      <c r="AB17" s="177">
        <v>16</v>
      </c>
      <c r="AC17" s="52">
        <v>8</v>
      </c>
      <c r="AD17" s="52">
        <v>8</v>
      </c>
      <c r="AE17" s="177">
        <v>8</v>
      </c>
      <c r="AF17" s="177">
        <v>8</v>
      </c>
    </row>
    <row r="18" spans="1:32" s="174" customFormat="1" ht="32.450000000000003" customHeight="1" x14ac:dyDescent="0.2">
      <c r="A18" s="179" t="s">
        <v>468</v>
      </c>
      <c r="B18" s="152" t="s">
        <v>469</v>
      </c>
      <c r="C18" s="175" t="s">
        <v>105</v>
      </c>
      <c r="D18" s="52">
        <v>0.37</v>
      </c>
      <c r="E18" s="52">
        <v>0.37</v>
      </c>
      <c r="F18" s="52">
        <v>0.37</v>
      </c>
      <c r="G18" s="52">
        <v>0.37</v>
      </c>
      <c r="H18" s="52">
        <v>0.37</v>
      </c>
      <c r="I18" s="52">
        <v>0.37</v>
      </c>
      <c r="J18" s="177">
        <v>0.37</v>
      </c>
      <c r="K18" s="177">
        <v>0.37</v>
      </c>
      <c r="L18" s="177">
        <v>0.37</v>
      </c>
      <c r="M18" s="177">
        <v>0.37</v>
      </c>
      <c r="N18" s="177">
        <v>0.37</v>
      </c>
      <c r="O18" s="177">
        <v>0.37</v>
      </c>
      <c r="P18" s="52">
        <v>0.37</v>
      </c>
      <c r="Q18" s="52">
        <v>0.37</v>
      </c>
      <c r="R18" s="177">
        <v>0.37</v>
      </c>
      <c r="S18" s="177">
        <v>0.37</v>
      </c>
      <c r="T18" s="52">
        <v>0.37</v>
      </c>
      <c r="U18" s="52">
        <v>0.37</v>
      </c>
      <c r="V18" s="52">
        <v>0.37</v>
      </c>
      <c r="W18" s="52">
        <v>0.37</v>
      </c>
      <c r="X18" s="52">
        <v>0.37</v>
      </c>
      <c r="Y18" s="177">
        <v>0.37</v>
      </c>
      <c r="Z18" s="177">
        <v>0.37</v>
      </c>
      <c r="AA18" s="177">
        <v>0.37</v>
      </c>
      <c r="AB18" s="177">
        <v>0.37</v>
      </c>
      <c r="AC18" s="52">
        <v>0.37</v>
      </c>
      <c r="AD18" s="52">
        <v>0.37</v>
      </c>
      <c r="AE18" s="177">
        <v>0.37</v>
      </c>
      <c r="AF18" s="177">
        <v>0.37</v>
      </c>
    </row>
    <row r="19" spans="1:32" s="174" customFormat="1" ht="32.450000000000003" customHeight="1" x14ac:dyDescent="0.2">
      <c r="A19" s="179" t="s">
        <v>470</v>
      </c>
      <c r="B19" s="152" t="s">
        <v>471</v>
      </c>
      <c r="C19" s="175" t="s">
        <v>105</v>
      </c>
      <c r="D19" s="52">
        <v>0.18</v>
      </c>
      <c r="E19" s="52">
        <v>0.18</v>
      </c>
      <c r="F19" s="52">
        <v>0.37</v>
      </c>
      <c r="G19" s="52">
        <v>0.37</v>
      </c>
      <c r="H19" s="52">
        <v>0.5</v>
      </c>
      <c r="I19" s="52">
        <v>0.5</v>
      </c>
      <c r="J19" s="177">
        <v>0</v>
      </c>
      <c r="K19" s="177">
        <v>0</v>
      </c>
      <c r="L19" s="177">
        <v>0.37</v>
      </c>
      <c r="M19" s="177">
        <v>0.37</v>
      </c>
      <c r="N19" s="177">
        <v>0.5</v>
      </c>
      <c r="O19" s="177">
        <v>0.5</v>
      </c>
      <c r="P19" s="52">
        <v>0.18</v>
      </c>
      <c r="Q19" s="52">
        <v>0.18</v>
      </c>
      <c r="R19" s="177"/>
      <c r="S19" s="177"/>
      <c r="T19" s="52">
        <v>0.18</v>
      </c>
      <c r="U19" s="52">
        <v>0.18</v>
      </c>
      <c r="V19" s="52">
        <v>0.37</v>
      </c>
      <c r="W19" s="52">
        <v>0.37</v>
      </c>
      <c r="X19" s="52">
        <v>0.5</v>
      </c>
      <c r="Y19" s="177">
        <v>0.18</v>
      </c>
      <c r="Z19" s="177">
        <v>0.18</v>
      </c>
      <c r="AA19" s="177">
        <v>0.37</v>
      </c>
      <c r="AB19" s="177">
        <v>0.37</v>
      </c>
      <c r="AC19" s="52">
        <v>0.18</v>
      </c>
      <c r="AD19" s="52">
        <v>0.18</v>
      </c>
      <c r="AE19" s="177">
        <v>0.18</v>
      </c>
      <c r="AF19" s="177">
        <v>0.18</v>
      </c>
    </row>
    <row r="20" spans="1:32" s="174" customFormat="1" ht="32.450000000000003" customHeight="1" x14ac:dyDescent="0.2">
      <c r="A20" s="179"/>
      <c r="B20" s="19" t="s">
        <v>465</v>
      </c>
      <c r="C20" s="175" t="s">
        <v>105</v>
      </c>
      <c r="D20" s="52"/>
      <c r="E20" s="52"/>
      <c r="F20" s="52"/>
      <c r="G20" s="52"/>
      <c r="H20" s="52"/>
      <c r="I20" s="52"/>
      <c r="J20" s="177"/>
      <c r="K20" s="177"/>
      <c r="L20" s="177"/>
      <c r="M20" s="177"/>
      <c r="N20" s="177"/>
      <c r="O20" s="177"/>
      <c r="P20" s="52"/>
      <c r="Q20" s="52"/>
      <c r="R20" s="177"/>
      <c r="S20" s="177"/>
      <c r="T20" s="52"/>
      <c r="U20" s="52"/>
      <c r="V20" s="52"/>
      <c r="W20" s="52"/>
      <c r="X20" s="52"/>
      <c r="Y20" s="177"/>
      <c r="Z20" s="177"/>
      <c r="AA20" s="177"/>
      <c r="AB20" s="177"/>
      <c r="AC20" s="52"/>
      <c r="AD20" s="52"/>
      <c r="AE20" s="177"/>
      <c r="AF20" s="177"/>
    </row>
    <row r="21" spans="1:32" s="174" customFormat="1" ht="32.450000000000003" customHeight="1" x14ac:dyDescent="0.2">
      <c r="A21" s="179"/>
      <c r="B21" s="19" t="s">
        <v>478</v>
      </c>
      <c r="C21" s="175"/>
      <c r="D21" s="52"/>
      <c r="E21" s="52"/>
      <c r="F21" s="52"/>
      <c r="G21" s="52"/>
      <c r="H21" s="52"/>
      <c r="I21" s="52"/>
      <c r="J21" s="177"/>
      <c r="K21" s="177"/>
      <c r="L21" s="177"/>
      <c r="M21" s="177"/>
      <c r="N21" s="177"/>
      <c r="O21" s="177"/>
      <c r="P21" s="52"/>
      <c r="Q21" s="52"/>
      <c r="R21" s="177"/>
      <c r="S21" s="177"/>
      <c r="T21" s="52"/>
      <c r="U21" s="52"/>
      <c r="V21" s="52"/>
      <c r="W21" s="52"/>
      <c r="X21" s="52"/>
      <c r="Y21" s="177"/>
      <c r="Z21" s="177"/>
      <c r="AA21" s="177"/>
      <c r="AB21" s="177"/>
      <c r="AC21" s="52"/>
      <c r="AD21" s="52"/>
      <c r="AE21" s="177"/>
      <c r="AF21" s="177"/>
    </row>
    <row r="22" spans="1:32" s="174" customFormat="1" ht="32.450000000000003" customHeight="1" x14ac:dyDescent="0.2">
      <c r="A22" s="179" t="s">
        <v>170</v>
      </c>
      <c r="B22" s="152" t="s">
        <v>476</v>
      </c>
      <c r="C22" s="175" t="s">
        <v>105</v>
      </c>
      <c r="D22" s="52">
        <f>(D11*D12)+D17+D18+D19</f>
        <v>10.999999999999998</v>
      </c>
      <c r="E22" s="52">
        <f t="shared" ref="E22:AF22" si="0">(E11*E12)+E17+E18+E19</f>
        <v>11.799999999999999</v>
      </c>
      <c r="F22" s="52">
        <f t="shared" si="0"/>
        <v>21.64</v>
      </c>
      <c r="G22" s="52">
        <f t="shared" si="0"/>
        <v>23.240000000000002</v>
      </c>
      <c r="H22" s="52">
        <f t="shared" si="0"/>
        <v>25.37</v>
      </c>
      <c r="I22" s="52">
        <f t="shared" si="0"/>
        <v>25.37</v>
      </c>
      <c r="J22" s="177">
        <f t="shared" si="0"/>
        <v>10.819999999999999</v>
      </c>
      <c r="K22" s="177">
        <f t="shared" si="0"/>
        <v>11.62</v>
      </c>
      <c r="L22" s="177">
        <f t="shared" si="0"/>
        <v>21.64</v>
      </c>
      <c r="M22" s="177">
        <f t="shared" si="0"/>
        <v>23.240000000000002</v>
      </c>
      <c r="N22" s="177">
        <f t="shared" si="0"/>
        <v>25.37</v>
      </c>
      <c r="O22" s="177">
        <f t="shared" si="0"/>
        <v>25.37</v>
      </c>
      <c r="P22" s="52">
        <f t="shared" si="0"/>
        <v>10.999999999999998</v>
      </c>
      <c r="Q22" s="52">
        <f t="shared" si="0"/>
        <v>11.799999999999999</v>
      </c>
      <c r="R22" s="177">
        <f t="shared" si="0"/>
        <v>10.819999999999999</v>
      </c>
      <c r="S22" s="177">
        <f t="shared" si="0"/>
        <v>11.62</v>
      </c>
      <c r="T22" s="52">
        <v>11.8</v>
      </c>
      <c r="U22" s="52">
        <f t="shared" si="0"/>
        <v>11.799999999999999</v>
      </c>
      <c r="V22" s="52">
        <f t="shared" si="0"/>
        <v>21.14</v>
      </c>
      <c r="W22" s="52">
        <f t="shared" si="0"/>
        <v>22.740000000000002</v>
      </c>
      <c r="X22" s="52">
        <f t="shared" si="0"/>
        <v>24.87</v>
      </c>
      <c r="Y22" s="177">
        <f t="shared" si="0"/>
        <v>10.749999999999998</v>
      </c>
      <c r="Z22" s="177">
        <f t="shared" si="0"/>
        <v>11.549999999999999</v>
      </c>
      <c r="AA22" s="177">
        <f>(AA11*AA12)+AA17+AA18+AA19</f>
        <v>21.14</v>
      </c>
      <c r="AB22" s="177">
        <f t="shared" si="0"/>
        <v>22.740000000000002</v>
      </c>
      <c r="AC22" s="52">
        <f t="shared" si="0"/>
        <v>10.749999999999998</v>
      </c>
      <c r="AD22" s="52">
        <f t="shared" si="0"/>
        <v>11.549999999999999</v>
      </c>
      <c r="AE22" s="177">
        <f t="shared" si="0"/>
        <v>10.749999999999998</v>
      </c>
      <c r="AF22" s="177">
        <f t="shared" si="0"/>
        <v>11.549999999999999</v>
      </c>
    </row>
    <row r="23" spans="1:32" s="174" customFormat="1" ht="32.450000000000003" customHeight="1" x14ac:dyDescent="0.2">
      <c r="A23" s="179" t="s">
        <v>172</v>
      </c>
      <c r="B23" s="152" t="s">
        <v>173</v>
      </c>
      <c r="C23" s="175" t="s">
        <v>110</v>
      </c>
      <c r="D23" s="52" t="s">
        <v>112</v>
      </c>
      <c r="E23" s="52" t="s">
        <v>112</v>
      </c>
      <c r="F23" s="52" t="s">
        <v>112</v>
      </c>
      <c r="G23" s="52" t="s">
        <v>112</v>
      </c>
      <c r="H23" s="52" t="s">
        <v>112</v>
      </c>
      <c r="I23" s="52" t="s">
        <v>112</v>
      </c>
      <c r="J23" s="177" t="s">
        <v>112</v>
      </c>
      <c r="K23" s="177" t="s">
        <v>112</v>
      </c>
      <c r="L23" s="177" t="s">
        <v>112</v>
      </c>
      <c r="M23" s="177" t="s">
        <v>112</v>
      </c>
      <c r="N23" s="177" t="s">
        <v>112</v>
      </c>
      <c r="O23" s="177" t="s">
        <v>112</v>
      </c>
      <c r="P23" s="52" t="s">
        <v>112</v>
      </c>
      <c r="Q23" s="52" t="s">
        <v>112</v>
      </c>
      <c r="R23" s="177" t="s">
        <v>112</v>
      </c>
      <c r="S23" s="177" t="s">
        <v>112</v>
      </c>
      <c r="T23" s="52" t="s">
        <v>112</v>
      </c>
      <c r="U23" s="52" t="s">
        <v>112</v>
      </c>
      <c r="V23" s="52" t="s">
        <v>112</v>
      </c>
      <c r="W23" s="52" t="s">
        <v>112</v>
      </c>
      <c r="X23" s="52" t="s">
        <v>112</v>
      </c>
      <c r="Y23" s="177" t="s">
        <v>112</v>
      </c>
      <c r="Z23" s="177" t="s">
        <v>112</v>
      </c>
      <c r="AA23" s="177" t="s">
        <v>112</v>
      </c>
      <c r="AB23" s="177" t="s">
        <v>112</v>
      </c>
      <c r="AC23" s="52" t="s">
        <v>112</v>
      </c>
      <c r="AD23" s="52" t="s">
        <v>112</v>
      </c>
      <c r="AE23" s="177" t="s">
        <v>112</v>
      </c>
      <c r="AF23" s="177" t="s">
        <v>112</v>
      </c>
    </row>
    <row r="24" spans="1:32" s="174" customFormat="1" ht="32.450000000000003" customHeight="1" x14ac:dyDescent="0.2">
      <c r="A24" s="19" t="s">
        <v>421</v>
      </c>
      <c r="B24" s="21" t="s">
        <v>422</v>
      </c>
      <c r="C24" s="191" t="s">
        <v>519</v>
      </c>
      <c r="D24" s="192" t="s">
        <v>423</v>
      </c>
      <c r="E24" s="192" t="s">
        <v>423</v>
      </c>
      <c r="F24" s="192" t="s">
        <v>423</v>
      </c>
      <c r="G24" s="192" t="s">
        <v>423</v>
      </c>
      <c r="H24" s="192" t="s">
        <v>423</v>
      </c>
      <c r="I24" s="192" t="s">
        <v>423</v>
      </c>
      <c r="J24" s="193" t="s">
        <v>423</v>
      </c>
      <c r="K24" s="193" t="s">
        <v>423</v>
      </c>
      <c r="L24" s="193" t="s">
        <v>423</v>
      </c>
      <c r="M24" s="193" t="s">
        <v>423</v>
      </c>
      <c r="N24" s="193" t="s">
        <v>423</v>
      </c>
      <c r="O24" s="193" t="s">
        <v>423</v>
      </c>
      <c r="P24" s="192" t="s">
        <v>423</v>
      </c>
      <c r="Q24" s="192" t="s">
        <v>423</v>
      </c>
      <c r="R24" s="193" t="s">
        <v>423</v>
      </c>
      <c r="S24" s="193" t="s">
        <v>423</v>
      </c>
      <c r="T24" s="192" t="s">
        <v>423</v>
      </c>
      <c r="U24" s="192" t="s">
        <v>423</v>
      </c>
      <c r="V24" s="192" t="s">
        <v>423</v>
      </c>
      <c r="W24" s="192" t="s">
        <v>423</v>
      </c>
      <c r="X24" s="192" t="s">
        <v>423</v>
      </c>
      <c r="Y24" s="193" t="s">
        <v>423</v>
      </c>
      <c r="Z24" s="193" t="s">
        <v>423</v>
      </c>
      <c r="AA24" s="193" t="s">
        <v>423</v>
      </c>
      <c r="AB24" s="193" t="s">
        <v>423</v>
      </c>
      <c r="AC24" s="192" t="s">
        <v>423</v>
      </c>
      <c r="AD24" s="192" t="s">
        <v>423</v>
      </c>
      <c r="AE24" s="193" t="s">
        <v>423</v>
      </c>
      <c r="AF24" s="193" t="s">
        <v>423</v>
      </c>
    </row>
    <row r="25" spans="1:32" s="174" customFormat="1" ht="32.450000000000003" customHeight="1" x14ac:dyDescent="0.2">
      <c r="A25" s="91" t="s">
        <v>450</v>
      </c>
      <c r="B25" s="91" t="s">
        <v>451</v>
      </c>
      <c r="C25" s="194"/>
      <c r="D25" s="93" t="s">
        <v>452</v>
      </c>
      <c r="E25" s="93" t="s">
        <v>452</v>
      </c>
      <c r="F25" s="93" t="s">
        <v>452</v>
      </c>
      <c r="G25" s="93" t="s">
        <v>452</v>
      </c>
      <c r="H25" s="93" t="s">
        <v>452</v>
      </c>
      <c r="I25" s="93" t="s">
        <v>452</v>
      </c>
      <c r="J25" s="195" t="s">
        <v>452</v>
      </c>
      <c r="K25" s="195" t="s">
        <v>452</v>
      </c>
      <c r="L25" s="195" t="s">
        <v>452</v>
      </c>
      <c r="M25" s="195" t="s">
        <v>452</v>
      </c>
      <c r="N25" s="195" t="s">
        <v>452</v>
      </c>
      <c r="O25" s="195" t="s">
        <v>452</v>
      </c>
      <c r="P25" s="93" t="s">
        <v>452</v>
      </c>
      <c r="Q25" s="93" t="s">
        <v>452</v>
      </c>
      <c r="R25" s="195" t="s">
        <v>452</v>
      </c>
      <c r="S25" s="195" t="s">
        <v>452</v>
      </c>
      <c r="T25" s="93" t="s">
        <v>452</v>
      </c>
      <c r="U25" s="93" t="s">
        <v>452</v>
      </c>
      <c r="V25" s="93" t="s">
        <v>452</v>
      </c>
      <c r="W25" s="93" t="s">
        <v>452</v>
      </c>
      <c r="X25" s="93" t="s">
        <v>452</v>
      </c>
      <c r="Y25" s="195" t="s">
        <v>452</v>
      </c>
      <c r="Z25" s="195" t="s">
        <v>452</v>
      </c>
      <c r="AA25" s="195" t="s">
        <v>452</v>
      </c>
      <c r="AB25" s="195" t="s">
        <v>452</v>
      </c>
      <c r="AC25" s="93" t="s">
        <v>452</v>
      </c>
      <c r="AD25" s="93" t="s">
        <v>452</v>
      </c>
      <c r="AE25" s="195" t="s">
        <v>452</v>
      </c>
      <c r="AF25" s="195" t="s">
        <v>452</v>
      </c>
    </row>
    <row r="26" spans="1:32" s="196" customFormat="1" ht="31.9" customHeight="1" x14ac:dyDescent="0.25">
      <c r="A26" s="91" t="s">
        <v>453</v>
      </c>
      <c r="B26" s="91" t="s">
        <v>454</v>
      </c>
      <c r="C26" s="194"/>
      <c r="D26" s="93" t="s">
        <v>455</v>
      </c>
      <c r="E26" s="93" t="s">
        <v>455</v>
      </c>
      <c r="F26" s="93" t="s">
        <v>455</v>
      </c>
      <c r="G26" s="93" t="s">
        <v>455</v>
      </c>
      <c r="H26" s="93" t="s">
        <v>455</v>
      </c>
      <c r="I26" s="93" t="s">
        <v>455</v>
      </c>
      <c r="J26" s="195" t="s">
        <v>455</v>
      </c>
      <c r="K26" s="195" t="s">
        <v>455</v>
      </c>
      <c r="L26" s="195" t="s">
        <v>455</v>
      </c>
      <c r="M26" s="195" t="s">
        <v>455</v>
      </c>
      <c r="N26" s="195" t="s">
        <v>455</v>
      </c>
      <c r="O26" s="195" t="s">
        <v>455</v>
      </c>
      <c r="P26" s="93" t="s">
        <v>455</v>
      </c>
      <c r="Q26" s="93" t="s">
        <v>455</v>
      </c>
      <c r="R26" s="195" t="s">
        <v>455</v>
      </c>
      <c r="S26" s="195" t="s">
        <v>455</v>
      </c>
      <c r="T26" s="93" t="s">
        <v>455</v>
      </c>
      <c r="U26" s="93" t="s">
        <v>455</v>
      </c>
      <c r="V26" s="93" t="s">
        <v>455</v>
      </c>
      <c r="W26" s="93" t="s">
        <v>455</v>
      </c>
      <c r="X26" s="93" t="s">
        <v>455</v>
      </c>
      <c r="Y26" s="195" t="s">
        <v>455</v>
      </c>
      <c r="Z26" s="195" t="s">
        <v>455</v>
      </c>
      <c r="AA26" s="195" t="s">
        <v>455</v>
      </c>
      <c r="AB26" s="195" t="s">
        <v>455</v>
      </c>
      <c r="AC26" s="93" t="s">
        <v>455</v>
      </c>
      <c r="AD26" s="93" t="s">
        <v>455</v>
      </c>
      <c r="AE26" s="195" t="s">
        <v>455</v>
      </c>
      <c r="AF26" s="195" t="s">
        <v>455</v>
      </c>
    </row>
    <row r="27" spans="1:32" s="196" customFormat="1" ht="31.9" customHeight="1" x14ac:dyDescent="0.25">
      <c r="A27" s="153" t="s">
        <v>459</v>
      </c>
      <c r="C27" s="197"/>
      <c r="D27" s="197"/>
    </row>
    <row r="28" spans="1:32" s="196" customFormat="1" ht="31.9" customHeight="1" x14ac:dyDescent="0.25">
      <c r="C28" s="197"/>
      <c r="D28" s="197"/>
      <c r="F28" s="197"/>
      <c r="G28" s="197"/>
    </row>
    <row r="29" spans="1:32" s="196" customFormat="1" ht="40.9" customHeight="1" x14ac:dyDescent="0.25">
      <c r="C29" s="197"/>
      <c r="D29" s="197"/>
      <c r="F29" s="197"/>
      <c r="G29" s="197"/>
    </row>
    <row r="30" spans="1:32" s="196" customFormat="1" ht="31.9" customHeight="1" x14ac:dyDescent="0.25">
      <c r="C30" s="197"/>
      <c r="D30" s="197"/>
      <c r="F30" s="197"/>
      <c r="G30" s="197"/>
    </row>
    <row r="31" spans="1:32" s="196" customFormat="1" ht="31.9" customHeight="1" x14ac:dyDescent="0.25">
      <c r="C31" s="197"/>
      <c r="D31" s="197"/>
      <c r="F31" s="197"/>
      <c r="G31" s="197"/>
    </row>
    <row r="32" spans="1:32" s="196" customFormat="1" ht="31.9" customHeight="1" x14ac:dyDescent="0.25">
      <c r="C32" s="197"/>
      <c r="D32" s="197"/>
      <c r="F32" s="197"/>
      <c r="G32" s="197"/>
    </row>
    <row r="33" spans="1:9" s="196" customFormat="1" ht="31.9" customHeight="1" x14ac:dyDescent="0.25">
      <c r="C33" s="197"/>
      <c r="D33" s="197"/>
      <c r="F33" s="197"/>
      <c r="G33" s="197"/>
    </row>
    <row r="34" spans="1:9" s="174" customFormat="1" x14ac:dyDescent="0.2">
      <c r="A34" s="198"/>
      <c r="B34" s="198"/>
      <c r="C34" s="199"/>
      <c r="D34" s="199"/>
      <c r="E34" s="180"/>
      <c r="F34" s="199"/>
      <c r="G34" s="199"/>
      <c r="H34" s="180"/>
      <c r="I34" s="180"/>
    </row>
    <row r="35" spans="1:9" s="174" customFormat="1" x14ac:dyDescent="0.2">
      <c r="A35" s="198"/>
      <c r="B35" s="197"/>
      <c r="C35" s="199"/>
      <c r="E35" s="180"/>
      <c r="F35" s="199"/>
      <c r="G35" s="199"/>
      <c r="H35" s="180"/>
      <c r="I35" s="180"/>
    </row>
    <row r="36" spans="1:9" s="174" customFormat="1" x14ac:dyDescent="0.2">
      <c r="A36" s="199"/>
      <c r="C36" s="180"/>
      <c r="D36" s="199"/>
      <c r="E36" s="199"/>
      <c r="F36" s="180"/>
      <c r="G36" s="180"/>
    </row>
    <row r="37" spans="1:9" s="174" customFormat="1" x14ac:dyDescent="0.2">
      <c r="A37" s="199"/>
      <c r="C37" s="180"/>
      <c r="D37" s="199"/>
      <c r="E37" s="199"/>
      <c r="F37" s="180"/>
      <c r="G37" s="180"/>
    </row>
    <row r="38" spans="1:9" s="174" customFormat="1" x14ac:dyDescent="0.2">
      <c r="A38" s="199"/>
      <c r="C38" s="180"/>
      <c r="D38" s="199"/>
      <c r="E38" s="199"/>
      <c r="F38" s="180"/>
      <c r="G38" s="180"/>
    </row>
    <row r="39" spans="1:9" s="174" customFormat="1" x14ac:dyDescent="0.2">
      <c r="A39" s="199"/>
      <c r="D39" s="199"/>
      <c r="E39" s="199"/>
      <c r="F39" s="180"/>
      <c r="G39" s="180"/>
    </row>
    <row r="40" spans="1:9" s="174" customFormat="1" x14ac:dyDescent="0.2">
      <c r="A40" s="199"/>
      <c r="D40" s="199"/>
      <c r="E40" s="199"/>
      <c r="F40" s="180"/>
      <c r="G40" s="180"/>
    </row>
    <row r="41" spans="1:9" s="174" customFormat="1" x14ac:dyDescent="0.2">
      <c r="A41" s="199"/>
      <c r="D41" s="199"/>
      <c r="E41" s="199"/>
      <c r="F41" s="180"/>
      <c r="G41" s="180"/>
    </row>
    <row r="42" spans="1:9" s="174" customFormat="1" x14ac:dyDescent="0.2">
      <c r="A42" s="199"/>
      <c r="D42" s="199"/>
      <c r="E42" s="180"/>
      <c r="F42" s="180"/>
      <c r="G42" s="180"/>
    </row>
    <row r="43" spans="1:9" s="174" customFormat="1" x14ac:dyDescent="0.2">
      <c r="A43" s="199"/>
      <c r="D43" s="199"/>
      <c r="E43" s="180"/>
      <c r="F43" s="180"/>
      <c r="G43" s="180"/>
    </row>
    <row r="44" spans="1:9" s="174" customFormat="1" x14ac:dyDescent="0.2">
      <c r="A44" s="199"/>
      <c r="D44" s="199"/>
      <c r="E44" s="180"/>
      <c r="F44" s="180"/>
      <c r="G44" s="180"/>
    </row>
    <row r="45" spans="1:9" s="174" customFormat="1" x14ac:dyDescent="0.2">
      <c r="A45" s="199"/>
      <c r="D45" s="180"/>
      <c r="E45" s="180"/>
      <c r="F45" s="180"/>
      <c r="G45" s="180"/>
    </row>
    <row r="46" spans="1:9" s="174" customFormat="1" x14ac:dyDescent="0.2">
      <c r="A46" s="199"/>
      <c r="D46" s="180"/>
      <c r="E46" s="180"/>
      <c r="F46" s="180"/>
      <c r="G46" s="180"/>
    </row>
    <row r="47" spans="1:9" s="174" customFormat="1" x14ac:dyDescent="0.2">
      <c r="A47" s="199"/>
      <c r="D47" s="180"/>
      <c r="E47" s="180"/>
      <c r="F47" s="180"/>
      <c r="G47" s="180"/>
    </row>
    <row r="48" spans="1:9" s="174" customFormat="1" x14ac:dyDescent="0.2">
      <c r="A48" s="199"/>
      <c r="D48" s="180"/>
      <c r="E48" s="180"/>
      <c r="F48" s="180"/>
      <c r="G48" s="180"/>
    </row>
    <row r="49" spans="1:7" s="174" customFormat="1" x14ac:dyDescent="0.2">
      <c r="A49" s="199"/>
      <c r="D49" s="180"/>
      <c r="E49" s="180"/>
      <c r="F49" s="180"/>
      <c r="G49" s="180"/>
    </row>
    <row r="50" spans="1:7" s="174" customFormat="1" x14ac:dyDescent="0.2">
      <c r="A50" s="199"/>
      <c r="D50" s="180"/>
      <c r="E50" s="180"/>
      <c r="F50" s="180"/>
      <c r="G50" s="180"/>
    </row>
  </sheetData>
  <autoFilter ref="B2:B23" xr:uid="{4DC961BB-9429-4877-8E9B-6C01D1304E8F}"/>
  <mergeCells count="9">
    <mergeCell ref="D1:I1"/>
    <mergeCell ref="J1:O1"/>
    <mergeCell ref="A1:C2"/>
    <mergeCell ref="AE1:AF1"/>
    <mergeCell ref="P1:Q1"/>
    <mergeCell ref="R1:S1"/>
    <mergeCell ref="T1:X1"/>
    <mergeCell ref="Y1:AB1"/>
    <mergeCell ref="AC1:AD1"/>
  </mergeCells>
  <phoneticPr fontId="51" type="noConversion"/>
  <pageMargins left="0.7" right="0.7" top="0.75" bottom="0.75" header="0.3" footer="0.3"/>
  <pageSetup paperSize="9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7213-3D83-4D5F-8EA5-4A1F8141D08F}">
  <sheetPr>
    <tabColor rgb="FFFF0000"/>
  </sheetPr>
  <dimension ref="A1:FV26"/>
  <sheetViews>
    <sheetView topLeftCell="B5" zoomScaleNormal="100" workbookViewId="0">
      <selection activeCell="B19" sqref="B19"/>
    </sheetView>
  </sheetViews>
  <sheetFormatPr defaultColWidth="9.140625" defaultRowHeight="15" x14ac:dyDescent="0.25"/>
  <cols>
    <col min="1" max="1" width="44.42578125" style="7" customWidth="1"/>
    <col min="2" max="2" width="36.7109375" style="7" customWidth="1"/>
    <col min="3" max="3" width="13.7109375" style="10" customWidth="1"/>
    <col min="4" max="9" width="25.85546875" style="10" customWidth="1"/>
    <col min="10" max="16384" width="9.140625" style="7"/>
  </cols>
  <sheetData>
    <row r="1" spans="1:178" s="5" customFormat="1" ht="44.45" customHeight="1" x14ac:dyDescent="0.25">
      <c r="A1" s="107" t="s">
        <v>314</v>
      </c>
      <c r="B1" s="107"/>
      <c r="C1" s="108"/>
      <c r="D1" s="111" t="s">
        <v>4</v>
      </c>
      <c r="E1" s="112"/>
      <c r="F1" s="112"/>
      <c r="G1" s="112"/>
      <c r="H1" s="112"/>
      <c r="I1" s="11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</row>
    <row r="2" spans="1:178" s="5" customFormat="1" ht="46.9" customHeight="1" x14ac:dyDescent="0.25">
      <c r="A2" s="109"/>
      <c r="B2" s="109"/>
      <c r="C2" s="110"/>
      <c r="D2" s="70" t="s">
        <v>37</v>
      </c>
      <c r="E2" s="70" t="s">
        <v>38</v>
      </c>
      <c r="F2" s="70" t="s">
        <v>39</v>
      </c>
      <c r="G2" s="70" t="s">
        <v>40</v>
      </c>
      <c r="H2" s="70" t="s">
        <v>41</v>
      </c>
      <c r="I2" s="70" t="s">
        <v>42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</row>
    <row r="3" spans="1:178" s="5" customFormat="1" ht="45" customHeight="1" x14ac:dyDescent="0.25">
      <c r="A3" s="44" t="s">
        <v>82</v>
      </c>
      <c r="B3" s="44" t="s">
        <v>129</v>
      </c>
      <c r="C3" s="99"/>
      <c r="D3" s="74" t="s">
        <v>67</v>
      </c>
      <c r="E3" s="74" t="s">
        <v>68</v>
      </c>
      <c r="F3" s="74" t="s">
        <v>69</v>
      </c>
      <c r="G3" s="74" t="s">
        <v>70</v>
      </c>
      <c r="H3" s="74" t="s">
        <v>71</v>
      </c>
      <c r="I3" s="74" t="s">
        <v>72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</row>
    <row r="4" spans="1:178" s="11" customFormat="1" ht="34.15" customHeight="1" x14ac:dyDescent="0.25">
      <c r="A4" s="58" t="s">
        <v>213</v>
      </c>
      <c r="B4" s="58" t="s">
        <v>214</v>
      </c>
      <c r="C4" s="9" t="s">
        <v>101</v>
      </c>
      <c r="D4" s="67" t="s">
        <v>408</v>
      </c>
      <c r="E4" s="67" t="s">
        <v>403</v>
      </c>
      <c r="F4" s="67" t="s">
        <v>404</v>
      </c>
      <c r="G4" s="67" t="s">
        <v>405</v>
      </c>
      <c r="H4" s="67" t="s">
        <v>406</v>
      </c>
      <c r="I4" s="67" t="s">
        <v>407</v>
      </c>
    </row>
    <row r="5" spans="1:178" ht="28.5" customHeight="1" x14ac:dyDescent="0.25">
      <c r="A5" s="57" t="s">
        <v>141</v>
      </c>
      <c r="B5" s="56" t="s">
        <v>142</v>
      </c>
      <c r="C5" s="73" t="s">
        <v>101</v>
      </c>
      <c r="D5" s="66">
        <v>1200</v>
      </c>
      <c r="E5" s="66">
        <v>1350</v>
      </c>
      <c r="F5" s="66">
        <v>1500</v>
      </c>
      <c r="G5" s="66">
        <v>1700</v>
      </c>
      <c r="H5" s="66">
        <v>1900</v>
      </c>
      <c r="I5" s="66">
        <v>2200</v>
      </c>
    </row>
    <row r="6" spans="1:178" ht="28.5" customHeight="1" x14ac:dyDescent="0.25">
      <c r="A6" s="59" t="s">
        <v>85</v>
      </c>
      <c r="B6" s="59" t="s">
        <v>93</v>
      </c>
      <c r="C6" s="63" t="s">
        <v>101</v>
      </c>
      <c r="D6" s="66">
        <v>700</v>
      </c>
      <c r="E6" s="66">
        <v>700</v>
      </c>
      <c r="F6" s="66">
        <v>850</v>
      </c>
      <c r="G6" s="66">
        <v>850</v>
      </c>
      <c r="H6" s="66">
        <v>850</v>
      </c>
      <c r="I6" s="66">
        <v>850</v>
      </c>
    </row>
    <row r="7" spans="1:178" ht="28.5" customHeight="1" x14ac:dyDescent="0.25">
      <c r="A7" s="59" t="s">
        <v>86</v>
      </c>
      <c r="B7" s="59" t="s">
        <v>94</v>
      </c>
      <c r="C7" s="63" t="s">
        <v>102</v>
      </c>
      <c r="D7" s="66">
        <v>400</v>
      </c>
      <c r="E7" s="66">
        <v>500</v>
      </c>
      <c r="F7" s="66">
        <v>1000</v>
      </c>
      <c r="G7" s="66">
        <v>1250</v>
      </c>
      <c r="H7" s="66">
        <v>1250</v>
      </c>
      <c r="I7" s="66">
        <v>1250</v>
      </c>
    </row>
    <row r="8" spans="1:178" ht="28.5" customHeight="1" x14ac:dyDescent="0.25">
      <c r="A8" s="59" t="s">
        <v>179</v>
      </c>
      <c r="B8" s="59" t="s">
        <v>180</v>
      </c>
      <c r="C8" s="63" t="s">
        <v>103</v>
      </c>
      <c r="D8" s="66">
        <v>150</v>
      </c>
      <c r="E8" s="66">
        <v>200</v>
      </c>
      <c r="F8" s="66">
        <v>350</v>
      </c>
      <c r="G8" s="66">
        <v>350</v>
      </c>
      <c r="H8" s="66">
        <v>350</v>
      </c>
      <c r="I8" s="66">
        <v>450</v>
      </c>
    </row>
    <row r="9" spans="1:178" ht="28.5" customHeight="1" x14ac:dyDescent="0.25">
      <c r="A9" s="59" t="s">
        <v>182</v>
      </c>
      <c r="B9" s="59" t="s">
        <v>181</v>
      </c>
      <c r="C9" s="63" t="s">
        <v>103</v>
      </c>
      <c r="D9" s="66">
        <v>150</v>
      </c>
      <c r="E9" s="66">
        <v>200</v>
      </c>
      <c r="F9" s="66">
        <v>350</v>
      </c>
      <c r="G9" s="66">
        <v>350</v>
      </c>
      <c r="H9" s="66">
        <v>350</v>
      </c>
      <c r="I9" s="66">
        <v>450</v>
      </c>
    </row>
    <row r="10" spans="1:178" ht="28.5" customHeight="1" x14ac:dyDescent="0.25">
      <c r="A10" s="59" t="s">
        <v>91</v>
      </c>
      <c r="B10" s="59" t="s">
        <v>100</v>
      </c>
      <c r="C10" s="63" t="s">
        <v>111</v>
      </c>
      <c r="D10" s="68">
        <v>85</v>
      </c>
      <c r="E10" s="68">
        <v>85</v>
      </c>
      <c r="F10" s="68">
        <v>85</v>
      </c>
      <c r="G10" s="68">
        <v>85</v>
      </c>
      <c r="H10" s="68">
        <v>85</v>
      </c>
      <c r="I10" s="68">
        <v>85</v>
      </c>
    </row>
    <row r="11" spans="1:178" ht="28.5" customHeight="1" x14ac:dyDescent="0.25">
      <c r="A11" s="25" t="s">
        <v>217</v>
      </c>
      <c r="B11" s="59" t="s">
        <v>218</v>
      </c>
      <c r="C11" s="63" t="s">
        <v>153</v>
      </c>
      <c r="D11" s="68" t="s">
        <v>215</v>
      </c>
      <c r="E11" s="68" t="s">
        <v>215</v>
      </c>
      <c r="F11" s="68" t="s">
        <v>215</v>
      </c>
      <c r="G11" s="68" t="s">
        <v>215</v>
      </c>
      <c r="H11" s="68" t="s">
        <v>215</v>
      </c>
      <c r="I11" s="68" t="s">
        <v>215</v>
      </c>
    </row>
    <row r="12" spans="1:178" ht="28.5" customHeight="1" x14ac:dyDescent="0.25">
      <c r="A12" s="59" t="s">
        <v>460</v>
      </c>
      <c r="B12" s="25" t="s">
        <v>239</v>
      </c>
      <c r="C12" s="63" t="s">
        <v>105</v>
      </c>
      <c r="D12" s="68">
        <v>2.2000000000000002</v>
      </c>
      <c r="E12" s="68">
        <v>3</v>
      </c>
      <c r="F12" s="68">
        <v>3</v>
      </c>
      <c r="G12" s="68">
        <v>4</v>
      </c>
      <c r="H12" s="68">
        <v>4</v>
      </c>
      <c r="I12" s="68">
        <v>4</v>
      </c>
    </row>
    <row r="13" spans="1:178" ht="28.5" customHeight="1" x14ac:dyDescent="0.25">
      <c r="A13" s="57" t="s">
        <v>461</v>
      </c>
      <c r="B13" s="56" t="s">
        <v>462</v>
      </c>
      <c r="C13" s="73" t="s">
        <v>105</v>
      </c>
      <c r="D13" s="68">
        <v>2.2000000000000002</v>
      </c>
      <c r="E13" s="68">
        <v>3</v>
      </c>
      <c r="F13" s="68">
        <v>3</v>
      </c>
      <c r="G13" s="68">
        <v>4</v>
      </c>
      <c r="H13" s="68">
        <v>4</v>
      </c>
      <c r="I13" s="68">
        <v>4</v>
      </c>
    </row>
    <row r="14" spans="1:178" ht="28.5" customHeight="1" x14ac:dyDescent="0.25">
      <c r="A14" s="25" t="s">
        <v>384</v>
      </c>
      <c r="B14" s="56" t="s">
        <v>474</v>
      </c>
      <c r="C14" s="73"/>
      <c r="D14" s="68" t="s">
        <v>168</v>
      </c>
      <c r="E14" s="68" t="s">
        <v>168</v>
      </c>
      <c r="F14" s="68" t="s">
        <v>168</v>
      </c>
      <c r="G14" s="68" t="s">
        <v>168</v>
      </c>
      <c r="H14" s="68" t="s">
        <v>168</v>
      </c>
      <c r="I14" s="68" t="s">
        <v>168</v>
      </c>
    </row>
    <row r="15" spans="1:178" ht="28.5" customHeight="1" x14ac:dyDescent="0.25">
      <c r="A15" s="25" t="s">
        <v>463</v>
      </c>
      <c r="B15" s="59" t="s">
        <v>475</v>
      </c>
      <c r="C15" s="63" t="s">
        <v>105</v>
      </c>
      <c r="D15" s="68">
        <v>16.5</v>
      </c>
      <c r="E15" s="68">
        <v>16.5</v>
      </c>
      <c r="F15" s="66">
        <v>33</v>
      </c>
      <c r="G15" s="66">
        <v>33</v>
      </c>
      <c r="H15" s="66">
        <v>33</v>
      </c>
      <c r="I15" s="66">
        <v>48</v>
      </c>
    </row>
    <row r="16" spans="1:178" ht="28.5" customHeight="1" x14ac:dyDescent="0.25">
      <c r="A16" s="25"/>
      <c r="B16" s="56" t="s">
        <v>469</v>
      </c>
      <c r="C16" s="17" t="s">
        <v>105</v>
      </c>
      <c r="D16" s="68">
        <v>0.37</v>
      </c>
      <c r="E16" s="68">
        <v>0.37</v>
      </c>
      <c r="F16" s="68">
        <v>0.37</v>
      </c>
      <c r="G16" s="68">
        <v>0.37</v>
      </c>
      <c r="H16" s="68">
        <v>0.37</v>
      </c>
      <c r="I16" s="68">
        <v>0.37</v>
      </c>
    </row>
    <row r="17" spans="1:9" ht="28.5" customHeight="1" x14ac:dyDescent="0.25">
      <c r="A17" s="25"/>
      <c r="B17" s="56" t="s">
        <v>471</v>
      </c>
      <c r="C17" s="17" t="s">
        <v>105</v>
      </c>
      <c r="D17" s="68">
        <v>0.18</v>
      </c>
      <c r="E17" s="68">
        <v>0.18</v>
      </c>
      <c r="F17" s="66">
        <v>0.37</v>
      </c>
      <c r="G17" s="66">
        <v>0.37</v>
      </c>
      <c r="H17" s="66">
        <v>0.55000000000000004</v>
      </c>
      <c r="I17" s="66">
        <v>0.55000000000000004</v>
      </c>
    </row>
    <row r="18" spans="1:9" ht="28.5" customHeight="1" x14ac:dyDescent="0.25">
      <c r="A18" s="59" t="s">
        <v>464</v>
      </c>
      <c r="B18" s="25" t="s">
        <v>465</v>
      </c>
      <c r="C18" s="63" t="s">
        <v>105</v>
      </c>
      <c r="D18" s="94">
        <v>6</v>
      </c>
      <c r="E18" s="94">
        <v>6</v>
      </c>
      <c r="F18" s="94">
        <v>6</v>
      </c>
      <c r="G18" s="94">
        <v>6</v>
      </c>
      <c r="H18" s="94">
        <v>6</v>
      </c>
      <c r="I18" s="94">
        <v>6</v>
      </c>
    </row>
    <row r="19" spans="1:9" ht="28.5" customHeight="1" x14ac:dyDescent="0.25">
      <c r="A19" s="59"/>
      <c r="B19" s="25" t="s">
        <v>478</v>
      </c>
      <c r="C19" s="63" t="s">
        <v>105</v>
      </c>
      <c r="D19" s="94">
        <v>0.75</v>
      </c>
      <c r="E19" s="94">
        <v>0.75</v>
      </c>
      <c r="F19" s="94">
        <v>0.75</v>
      </c>
      <c r="G19" s="94">
        <v>0.75</v>
      </c>
      <c r="H19" s="94">
        <v>0.75</v>
      </c>
      <c r="I19" s="94">
        <v>0.75</v>
      </c>
    </row>
    <row r="20" spans="1:9" ht="28.5" customHeight="1" x14ac:dyDescent="0.25">
      <c r="A20" s="59" t="s">
        <v>466</v>
      </c>
      <c r="B20" s="25" t="s">
        <v>467</v>
      </c>
      <c r="C20" s="63" t="s">
        <v>105</v>
      </c>
      <c r="D20" s="68">
        <f xml:space="preserve"> D15+D16+D17+D18+D19</f>
        <v>23.8</v>
      </c>
      <c r="E20" s="69" t="s">
        <v>409</v>
      </c>
      <c r="F20" s="68">
        <v>41</v>
      </c>
      <c r="G20" s="68">
        <v>43</v>
      </c>
      <c r="H20" s="68">
        <v>58</v>
      </c>
      <c r="I20" s="68">
        <v>58</v>
      </c>
    </row>
    <row r="21" spans="1:9" ht="28.5" customHeight="1" x14ac:dyDescent="0.25">
      <c r="A21" s="59" t="s">
        <v>108</v>
      </c>
      <c r="B21" s="59" t="s">
        <v>109</v>
      </c>
      <c r="C21" s="63" t="s">
        <v>110</v>
      </c>
      <c r="D21" s="68" t="s">
        <v>112</v>
      </c>
      <c r="E21" s="68" t="s">
        <v>112</v>
      </c>
      <c r="F21" s="68" t="s">
        <v>112</v>
      </c>
      <c r="G21" s="68" t="s">
        <v>112</v>
      </c>
      <c r="H21" s="68" t="s">
        <v>112</v>
      </c>
      <c r="I21" s="68" t="s">
        <v>112</v>
      </c>
    </row>
    <row r="22" spans="1:9" ht="28.5" customHeight="1" x14ac:dyDescent="0.25">
      <c r="A22" s="25" t="s">
        <v>421</v>
      </c>
      <c r="B22" s="71" t="s">
        <v>422</v>
      </c>
      <c r="C22" s="98" t="s">
        <v>458</v>
      </c>
      <c r="D22" s="97" t="s">
        <v>423</v>
      </c>
      <c r="E22" s="97" t="s">
        <v>423</v>
      </c>
      <c r="F22" s="97" t="s">
        <v>423</v>
      </c>
      <c r="G22" s="97" t="s">
        <v>423</v>
      </c>
      <c r="H22" s="97" t="s">
        <v>423</v>
      </c>
      <c r="I22" s="97" t="s">
        <v>423</v>
      </c>
    </row>
    <row r="23" spans="1:9" s="88" customFormat="1" ht="24.75" customHeight="1" x14ac:dyDescent="0.25">
      <c r="A23" s="89" t="s">
        <v>450</v>
      </c>
      <c r="B23" s="89" t="s">
        <v>451</v>
      </c>
      <c r="C23" s="90"/>
      <c r="D23" s="90" t="s">
        <v>456</v>
      </c>
      <c r="E23" s="90" t="s">
        <v>456</v>
      </c>
      <c r="F23" s="90" t="s">
        <v>456</v>
      </c>
      <c r="G23" s="90" t="s">
        <v>456</v>
      </c>
      <c r="H23" s="90" t="s">
        <v>456</v>
      </c>
      <c r="I23" s="90" t="s">
        <v>456</v>
      </c>
    </row>
    <row r="24" spans="1:9" s="88" customFormat="1" ht="24.75" customHeight="1" x14ac:dyDescent="0.25">
      <c r="A24" s="89" t="s">
        <v>453</v>
      </c>
      <c r="B24" s="89" t="s">
        <v>454</v>
      </c>
      <c r="C24" s="90"/>
      <c r="D24" s="90" t="s">
        <v>457</v>
      </c>
      <c r="E24" s="90" t="s">
        <v>457</v>
      </c>
      <c r="F24" s="90" t="s">
        <v>457</v>
      </c>
      <c r="G24" s="90" t="s">
        <v>457</v>
      </c>
      <c r="H24" s="90" t="s">
        <v>457</v>
      </c>
      <c r="I24" s="90" t="s">
        <v>457</v>
      </c>
    </row>
    <row r="26" spans="1:9" ht="21" x14ac:dyDescent="0.25">
      <c r="A26" s="100" t="s">
        <v>459</v>
      </c>
    </row>
  </sheetData>
  <mergeCells count="2">
    <mergeCell ref="A1:C2"/>
    <mergeCell ref="D1:I1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437A1-DC20-4AE8-A395-4BAD6CB4E683}">
  <sheetPr>
    <tabColor rgb="FFDFF4FD"/>
  </sheetPr>
  <dimension ref="A1:FC21"/>
  <sheetViews>
    <sheetView zoomScale="80" zoomScaleNormal="80" workbookViewId="0">
      <selection activeCell="G16" sqref="G16"/>
    </sheetView>
  </sheetViews>
  <sheetFormatPr defaultColWidth="9.140625" defaultRowHeight="15" x14ac:dyDescent="0.25"/>
  <cols>
    <col min="1" max="1" width="25.140625" style="7" customWidth="1"/>
    <col min="2" max="2" width="34.28515625" style="7" customWidth="1"/>
    <col min="3" max="3" width="8.85546875" style="10" customWidth="1"/>
    <col min="4" max="4" width="23.7109375" style="10" customWidth="1"/>
    <col min="5" max="5" width="24.7109375" style="10" customWidth="1"/>
    <col min="6" max="6" width="13" style="7" customWidth="1"/>
    <col min="7" max="7" width="10.28515625" style="7" customWidth="1"/>
    <col min="8" max="16384" width="9.140625" style="7"/>
  </cols>
  <sheetData>
    <row r="1" spans="1:159" s="5" customFormat="1" ht="45.6" customHeight="1" x14ac:dyDescent="0.25">
      <c r="A1" s="114" t="s">
        <v>315</v>
      </c>
      <c r="B1" s="115"/>
      <c r="C1" s="116"/>
      <c r="D1" s="28" t="s">
        <v>43</v>
      </c>
      <c r="E1" s="29" t="s">
        <v>44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</row>
    <row r="2" spans="1:159" s="5" customFormat="1" ht="32.450000000000003" customHeight="1" x14ac:dyDescent="0.25">
      <c r="A2" s="82" t="s">
        <v>82</v>
      </c>
      <c r="B2" s="82" t="s">
        <v>129</v>
      </c>
      <c r="C2" s="99"/>
      <c r="D2" s="26" t="s">
        <v>73</v>
      </c>
      <c r="E2" s="26" t="s">
        <v>74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</row>
    <row r="3" spans="1:159" s="11" customFormat="1" ht="30" customHeight="1" x14ac:dyDescent="0.25">
      <c r="A3" s="41" t="s">
        <v>213</v>
      </c>
      <c r="B3" s="41" t="s">
        <v>214</v>
      </c>
      <c r="C3" s="9" t="s">
        <v>101</v>
      </c>
      <c r="D3" s="6" t="s">
        <v>250</v>
      </c>
      <c r="E3" s="6" t="s">
        <v>251</v>
      </c>
    </row>
    <row r="4" spans="1:159" ht="30" customHeight="1" x14ac:dyDescent="0.25">
      <c r="A4" s="19" t="s">
        <v>228</v>
      </c>
      <c r="B4" s="19" t="s">
        <v>229</v>
      </c>
      <c r="C4" s="22" t="s">
        <v>222</v>
      </c>
      <c r="D4" s="6">
        <v>1</v>
      </c>
      <c r="E4" s="6">
        <v>1</v>
      </c>
    </row>
    <row r="5" spans="1:159" ht="30" customHeight="1" x14ac:dyDescent="0.25">
      <c r="A5" s="19" t="s">
        <v>223</v>
      </c>
      <c r="B5" s="19" t="s">
        <v>230</v>
      </c>
      <c r="C5" s="22" t="s">
        <v>231</v>
      </c>
      <c r="D5" s="6">
        <v>600</v>
      </c>
      <c r="E5" s="6">
        <v>1000</v>
      </c>
    </row>
    <row r="6" spans="1:159" ht="30" customHeight="1" x14ac:dyDescent="0.25">
      <c r="A6" s="19" t="s">
        <v>224</v>
      </c>
      <c r="B6" s="19" t="s">
        <v>232</v>
      </c>
      <c r="C6" s="22" t="s">
        <v>101</v>
      </c>
      <c r="D6" s="6" t="s">
        <v>252</v>
      </c>
      <c r="E6" s="6" t="s">
        <v>253</v>
      </c>
    </row>
    <row r="7" spans="1:159" ht="30" customHeight="1" x14ac:dyDescent="0.25">
      <c r="A7" s="19" t="s">
        <v>225</v>
      </c>
      <c r="B7" s="19" t="s">
        <v>233</v>
      </c>
      <c r="C7" s="22" t="s">
        <v>101</v>
      </c>
      <c r="D7" s="6">
        <v>2000</v>
      </c>
      <c r="E7" s="6">
        <v>2500</v>
      </c>
    </row>
    <row r="8" spans="1:159" ht="30" customHeight="1" x14ac:dyDescent="0.25">
      <c r="A8" s="19" t="s">
        <v>234</v>
      </c>
      <c r="B8" s="19" t="s">
        <v>235</v>
      </c>
      <c r="C8" s="22" t="s">
        <v>236</v>
      </c>
      <c r="D8" s="6">
        <v>250</v>
      </c>
      <c r="E8" s="6">
        <v>400</v>
      </c>
    </row>
    <row r="9" spans="1:159" ht="30" customHeight="1" x14ac:dyDescent="0.25">
      <c r="A9" s="19" t="s">
        <v>237</v>
      </c>
      <c r="B9" s="19" t="s">
        <v>238</v>
      </c>
      <c r="C9" s="22" t="s">
        <v>227</v>
      </c>
      <c r="D9" s="6">
        <v>85</v>
      </c>
      <c r="E9" s="6">
        <v>85</v>
      </c>
    </row>
    <row r="10" spans="1:159" ht="30" customHeight="1" x14ac:dyDescent="0.25">
      <c r="A10" s="19" t="s">
        <v>174</v>
      </c>
      <c r="B10" s="19" t="s">
        <v>239</v>
      </c>
      <c r="C10" s="22" t="s">
        <v>105</v>
      </c>
      <c r="D10" s="6">
        <v>1.1000000000000001</v>
      </c>
      <c r="E10" s="6">
        <v>1.5</v>
      </c>
    </row>
    <row r="11" spans="1:159" ht="30" customHeight="1" x14ac:dyDescent="0.25">
      <c r="A11" s="19" t="s">
        <v>240</v>
      </c>
      <c r="B11" s="19" t="s">
        <v>241</v>
      </c>
      <c r="C11" s="22" t="s">
        <v>105</v>
      </c>
      <c r="D11" s="6">
        <v>1.1000000000000001</v>
      </c>
      <c r="E11" s="6">
        <v>1.1000000000000001</v>
      </c>
    </row>
    <row r="12" spans="1:159" ht="30" customHeight="1" x14ac:dyDescent="0.25">
      <c r="A12" s="19" t="s">
        <v>484</v>
      </c>
      <c r="B12" s="59" t="s">
        <v>477</v>
      </c>
      <c r="C12" s="22" t="s">
        <v>105</v>
      </c>
      <c r="D12" s="6">
        <v>16.5</v>
      </c>
      <c r="E12" s="6">
        <v>16.5</v>
      </c>
    </row>
    <row r="13" spans="1:159" ht="30" customHeight="1" x14ac:dyDescent="0.25">
      <c r="A13" s="19" t="s">
        <v>483</v>
      </c>
      <c r="B13" s="25" t="s">
        <v>465</v>
      </c>
      <c r="C13" s="22" t="s">
        <v>105</v>
      </c>
      <c r="D13" s="6">
        <v>6.3</v>
      </c>
      <c r="E13" s="6">
        <v>6.3</v>
      </c>
    </row>
    <row r="14" spans="1:159" ht="30" customHeight="1" x14ac:dyDescent="0.25">
      <c r="A14" s="19" t="s">
        <v>481</v>
      </c>
      <c r="B14" s="56" t="s">
        <v>485</v>
      </c>
      <c r="C14" s="22" t="s">
        <v>105</v>
      </c>
      <c r="D14" s="6">
        <v>0.37</v>
      </c>
      <c r="E14" s="6">
        <v>0.37</v>
      </c>
    </row>
    <row r="15" spans="1:159" ht="30" customHeight="1" x14ac:dyDescent="0.25">
      <c r="A15" s="19" t="s">
        <v>482</v>
      </c>
      <c r="B15" s="56" t="s">
        <v>486</v>
      </c>
      <c r="C15" s="22" t="s">
        <v>105</v>
      </c>
      <c r="D15" s="6">
        <v>0.18</v>
      </c>
      <c r="E15" s="6">
        <v>0.37</v>
      </c>
    </row>
    <row r="16" spans="1:159" ht="30" customHeight="1" x14ac:dyDescent="0.25">
      <c r="A16" s="19" t="s">
        <v>479</v>
      </c>
      <c r="B16" s="19" t="s">
        <v>480</v>
      </c>
      <c r="C16" s="22" t="s">
        <v>105</v>
      </c>
      <c r="D16" s="6">
        <f>D10+D11+D12+D14+D15+D13</f>
        <v>25.55</v>
      </c>
      <c r="E16" s="6">
        <f>E10+E11+E12+E14+E15+E13</f>
        <v>26.140000000000004</v>
      </c>
    </row>
    <row r="17" spans="1:5" ht="30" customHeight="1" x14ac:dyDescent="0.25">
      <c r="A17" s="19" t="s">
        <v>246</v>
      </c>
      <c r="B17" s="19" t="s">
        <v>247</v>
      </c>
      <c r="C17" s="22" t="s">
        <v>248</v>
      </c>
      <c r="D17" s="6" t="s">
        <v>254</v>
      </c>
      <c r="E17" s="6" t="s">
        <v>254</v>
      </c>
    </row>
    <row r="18" spans="1:5" ht="21.6" customHeight="1" x14ac:dyDescent="0.25">
      <c r="A18" s="91" t="s">
        <v>450</v>
      </c>
      <c r="B18" s="91" t="s">
        <v>451</v>
      </c>
      <c r="C18" s="92"/>
      <c r="D18" s="93" t="s">
        <v>452</v>
      </c>
      <c r="E18" s="93" t="s">
        <v>452</v>
      </c>
    </row>
    <row r="19" spans="1:5" ht="21.6" customHeight="1" x14ac:dyDescent="0.25">
      <c r="A19" s="91" t="s">
        <v>453</v>
      </c>
      <c r="B19" s="91" t="s">
        <v>454</v>
      </c>
      <c r="C19" s="92"/>
      <c r="D19" s="93" t="s">
        <v>455</v>
      </c>
      <c r="E19" s="93" t="s">
        <v>455</v>
      </c>
    </row>
    <row r="21" spans="1:5" ht="21" x14ac:dyDescent="0.25">
      <c r="A21" s="100" t="s">
        <v>459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5875F-ABAB-4D01-9754-BDA2A1003BF0}">
  <sheetPr>
    <tabColor rgb="FFDFF4FD"/>
  </sheetPr>
  <dimension ref="A1:FO24"/>
  <sheetViews>
    <sheetView zoomScaleNormal="100" workbookViewId="0">
      <selection activeCell="A14" sqref="A14:B16"/>
    </sheetView>
  </sheetViews>
  <sheetFormatPr defaultColWidth="9.140625" defaultRowHeight="15" x14ac:dyDescent="0.25"/>
  <cols>
    <col min="1" max="1" width="26.140625" style="88" customWidth="1"/>
    <col min="2" max="2" width="26.85546875" style="88" bestFit="1" customWidth="1"/>
    <col min="3" max="3" width="13.140625" style="24" customWidth="1"/>
    <col min="4" max="7" width="22" style="88" customWidth="1"/>
    <col min="8" max="16384" width="9.140625" style="7"/>
  </cols>
  <sheetData>
    <row r="1" spans="1:171" s="5" customFormat="1" ht="48" customHeight="1" x14ac:dyDescent="0.25">
      <c r="A1" s="117" t="s">
        <v>412</v>
      </c>
      <c r="B1" s="118"/>
      <c r="C1" s="119"/>
      <c r="D1" s="62" t="s">
        <v>45</v>
      </c>
      <c r="E1" s="62" t="s">
        <v>46</v>
      </c>
      <c r="F1" s="62" t="s">
        <v>47</v>
      </c>
      <c r="G1" s="62" t="s">
        <v>48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</row>
    <row r="2" spans="1:171" s="5" customFormat="1" ht="34.9" customHeight="1" x14ac:dyDescent="0.25">
      <c r="A2" s="82" t="s">
        <v>82</v>
      </c>
      <c r="B2" s="82" t="s">
        <v>129</v>
      </c>
      <c r="C2" s="99"/>
      <c r="D2" s="1" t="s">
        <v>75</v>
      </c>
      <c r="E2" s="1" t="s">
        <v>76</v>
      </c>
      <c r="F2" s="1" t="s">
        <v>77</v>
      </c>
      <c r="G2" s="1" t="s">
        <v>78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</row>
    <row r="3" spans="1:171" s="11" customFormat="1" ht="30" customHeight="1" x14ac:dyDescent="0.25">
      <c r="A3" s="41" t="s">
        <v>213</v>
      </c>
      <c r="B3" s="41" t="s">
        <v>214</v>
      </c>
      <c r="C3" s="9" t="s">
        <v>101</v>
      </c>
      <c r="D3" s="6" t="s">
        <v>263</v>
      </c>
      <c r="E3" s="6" t="s">
        <v>264</v>
      </c>
      <c r="F3" s="6" t="s">
        <v>265</v>
      </c>
      <c r="G3" s="6" t="s">
        <v>266</v>
      </c>
    </row>
    <row r="4" spans="1:171" ht="24.6" customHeight="1" x14ac:dyDescent="0.25">
      <c r="A4" s="19" t="s">
        <v>228</v>
      </c>
      <c r="B4" s="19" t="s">
        <v>229</v>
      </c>
      <c r="C4" s="9" t="s">
        <v>222</v>
      </c>
      <c r="D4" s="63">
        <v>2</v>
      </c>
      <c r="E4" s="63">
        <v>2</v>
      </c>
      <c r="F4" s="63">
        <v>2</v>
      </c>
      <c r="G4" s="63">
        <v>2</v>
      </c>
    </row>
    <row r="5" spans="1:171" ht="24.6" customHeight="1" x14ac:dyDescent="0.25">
      <c r="A5" s="19" t="s">
        <v>223</v>
      </c>
      <c r="B5" s="19" t="s">
        <v>230</v>
      </c>
      <c r="C5" s="9" t="s">
        <v>231</v>
      </c>
      <c r="D5" s="63">
        <v>600</v>
      </c>
      <c r="E5" s="63">
        <v>1000</v>
      </c>
      <c r="F5" s="63">
        <v>1500</v>
      </c>
      <c r="G5" s="63">
        <v>2500</v>
      </c>
    </row>
    <row r="6" spans="1:171" ht="24.6" customHeight="1" x14ac:dyDescent="0.25">
      <c r="A6" s="19" t="s">
        <v>224</v>
      </c>
      <c r="B6" s="19" t="s">
        <v>232</v>
      </c>
      <c r="C6" s="6" t="s">
        <v>101</v>
      </c>
      <c r="D6" s="63" t="s">
        <v>252</v>
      </c>
      <c r="E6" s="63" t="s">
        <v>253</v>
      </c>
      <c r="F6" s="63" t="s">
        <v>267</v>
      </c>
      <c r="G6" s="63" t="s">
        <v>268</v>
      </c>
    </row>
    <row r="7" spans="1:171" ht="24.6" customHeight="1" x14ac:dyDescent="0.25">
      <c r="A7" s="19" t="s">
        <v>225</v>
      </c>
      <c r="B7" s="19" t="s">
        <v>233</v>
      </c>
      <c r="C7" s="9" t="s">
        <v>101</v>
      </c>
      <c r="D7" s="63">
        <v>3000</v>
      </c>
      <c r="E7" s="63">
        <v>3750</v>
      </c>
      <c r="F7" s="63">
        <v>4800</v>
      </c>
      <c r="G7" s="63">
        <v>5800</v>
      </c>
    </row>
    <row r="8" spans="1:171" ht="24.6" customHeight="1" x14ac:dyDescent="0.25">
      <c r="A8" s="19" t="s">
        <v>234</v>
      </c>
      <c r="B8" s="19" t="s">
        <v>235</v>
      </c>
      <c r="C8" s="9" t="s">
        <v>236</v>
      </c>
      <c r="D8" s="63">
        <v>250</v>
      </c>
      <c r="E8" s="63">
        <v>400</v>
      </c>
      <c r="F8" s="63">
        <v>600</v>
      </c>
      <c r="G8" s="63">
        <v>900</v>
      </c>
    </row>
    <row r="9" spans="1:171" ht="24.6" customHeight="1" x14ac:dyDescent="0.25">
      <c r="A9" s="19" t="s">
        <v>255</v>
      </c>
      <c r="B9" s="19" t="s">
        <v>256</v>
      </c>
      <c r="C9" s="9" t="s">
        <v>236</v>
      </c>
      <c r="D9" s="63">
        <v>250</v>
      </c>
      <c r="E9" s="63">
        <v>400</v>
      </c>
      <c r="F9" s="63">
        <v>600</v>
      </c>
      <c r="G9" s="63">
        <v>900</v>
      </c>
    </row>
    <row r="10" spans="1:171" ht="24.6" customHeight="1" x14ac:dyDescent="0.25">
      <c r="A10" s="19" t="s">
        <v>257</v>
      </c>
      <c r="B10" s="19" t="s">
        <v>258</v>
      </c>
      <c r="C10" s="9" t="s">
        <v>227</v>
      </c>
      <c r="D10" s="63">
        <v>85</v>
      </c>
      <c r="E10" s="63">
        <v>85</v>
      </c>
      <c r="F10" s="63">
        <v>85</v>
      </c>
      <c r="G10" s="63">
        <v>85</v>
      </c>
    </row>
    <row r="11" spans="1:171" ht="24.6" customHeight="1" x14ac:dyDescent="0.25">
      <c r="A11" s="19" t="s">
        <v>174</v>
      </c>
      <c r="B11" s="19" t="s">
        <v>239</v>
      </c>
      <c r="C11" s="9" t="s">
        <v>105</v>
      </c>
      <c r="D11" s="63">
        <v>1.1000000000000001</v>
      </c>
      <c r="E11" s="63">
        <v>1.5</v>
      </c>
      <c r="F11" s="63">
        <v>2.2000000000000002</v>
      </c>
      <c r="G11" s="63">
        <v>3</v>
      </c>
    </row>
    <row r="12" spans="1:171" ht="24.6" customHeight="1" x14ac:dyDescent="0.25">
      <c r="A12" s="19" t="s">
        <v>259</v>
      </c>
      <c r="B12" s="19" t="s">
        <v>260</v>
      </c>
      <c r="C12" s="9" t="s">
        <v>105</v>
      </c>
      <c r="D12" s="63">
        <v>1.1000000000000001</v>
      </c>
      <c r="E12" s="63">
        <v>1.1000000000000001</v>
      </c>
      <c r="F12" s="63">
        <v>1.5</v>
      </c>
      <c r="G12" s="63">
        <v>2.2000000000000002</v>
      </c>
    </row>
    <row r="13" spans="1:171" ht="24.6" customHeight="1" x14ac:dyDescent="0.25">
      <c r="A13" s="19" t="s">
        <v>240</v>
      </c>
      <c r="B13" s="19" t="s">
        <v>241</v>
      </c>
      <c r="C13" s="9" t="s">
        <v>105</v>
      </c>
      <c r="D13" s="63">
        <v>1.1000000000000001</v>
      </c>
      <c r="E13" s="63">
        <v>1.1000000000000001</v>
      </c>
      <c r="F13" s="63">
        <v>1.5</v>
      </c>
      <c r="G13" s="63">
        <v>2.2000000000000002</v>
      </c>
    </row>
    <row r="14" spans="1:171" ht="24.6" customHeight="1" x14ac:dyDescent="0.25">
      <c r="A14" s="19" t="s">
        <v>242</v>
      </c>
      <c r="B14" s="19" t="s">
        <v>243</v>
      </c>
      <c r="C14" s="6" t="s">
        <v>105</v>
      </c>
      <c r="D14" s="63">
        <v>16.25</v>
      </c>
      <c r="E14" s="63">
        <v>16.25</v>
      </c>
      <c r="F14" s="63">
        <v>24.75</v>
      </c>
      <c r="G14" s="63">
        <v>33</v>
      </c>
    </row>
    <row r="15" spans="1:171" ht="24.6" customHeight="1" x14ac:dyDescent="0.25">
      <c r="A15" s="19" t="s">
        <v>261</v>
      </c>
      <c r="B15" s="19" t="s">
        <v>262</v>
      </c>
      <c r="C15" s="6" t="s">
        <v>105</v>
      </c>
      <c r="D15" s="63">
        <v>16.25</v>
      </c>
      <c r="E15" s="63">
        <v>16.25</v>
      </c>
      <c r="F15" s="63">
        <v>24.75</v>
      </c>
      <c r="G15" s="63">
        <v>33</v>
      </c>
    </row>
    <row r="16" spans="1:171" ht="24.6" customHeight="1" x14ac:dyDescent="0.25">
      <c r="A16" s="19" t="s">
        <v>244</v>
      </c>
      <c r="B16" s="19" t="s">
        <v>245</v>
      </c>
      <c r="C16" s="6" t="s">
        <v>105</v>
      </c>
      <c r="D16" s="63">
        <v>6.3</v>
      </c>
      <c r="E16" s="63">
        <v>6.3</v>
      </c>
      <c r="F16" s="63">
        <v>12.6</v>
      </c>
      <c r="G16" s="63">
        <v>12.6</v>
      </c>
    </row>
    <row r="17" spans="1:7" ht="24.6" customHeight="1" x14ac:dyDescent="0.25">
      <c r="A17" s="19" t="s">
        <v>481</v>
      </c>
      <c r="B17" s="56" t="s">
        <v>485</v>
      </c>
      <c r="C17" s="6" t="s">
        <v>105</v>
      </c>
      <c r="D17" s="6">
        <v>0.37</v>
      </c>
      <c r="E17" s="6">
        <v>0.37</v>
      </c>
      <c r="F17" s="63">
        <v>0.55000000000000004</v>
      </c>
      <c r="G17" s="63">
        <v>0.75</v>
      </c>
    </row>
    <row r="18" spans="1:7" ht="24.6" customHeight="1" x14ac:dyDescent="0.25">
      <c r="A18" s="19" t="s">
        <v>482</v>
      </c>
      <c r="B18" s="56" t="s">
        <v>486</v>
      </c>
      <c r="C18" s="6" t="s">
        <v>105</v>
      </c>
      <c r="D18" s="6">
        <v>0.18</v>
      </c>
      <c r="E18" s="6">
        <v>0.37</v>
      </c>
      <c r="F18" s="63">
        <v>0.75</v>
      </c>
      <c r="G18" s="63">
        <v>1.5</v>
      </c>
    </row>
    <row r="19" spans="1:7" ht="24.6" customHeight="1" x14ac:dyDescent="0.25">
      <c r="A19" s="19" t="s">
        <v>487</v>
      </c>
      <c r="B19" s="19" t="s">
        <v>480</v>
      </c>
      <c r="C19" s="6" t="s">
        <v>105</v>
      </c>
      <c r="D19" s="63">
        <f>SUM(D11:D18)</f>
        <v>42.649999999999991</v>
      </c>
      <c r="E19" s="63">
        <f t="shared" ref="E19:G19" si="0">SUM(E11:E18)</f>
        <v>43.239999999999995</v>
      </c>
      <c r="F19" s="63">
        <f t="shared" si="0"/>
        <v>68.599999999999994</v>
      </c>
      <c r="G19" s="63">
        <f t="shared" si="0"/>
        <v>88.25</v>
      </c>
    </row>
    <row r="20" spans="1:7" ht="24.6" customHeight="1" x14ac:dyDescent="0.25">
      <c r="A20" s="19" t="s">
        <v>246</v>
      </c>
      <c r="B20" s="19" t="s">
        <v>247</v>
      </c>
      <c r="C20" s="6" t="s">
        <v>248</v>
      </c>
      <c r="D20" s="63" t="s">
        <v>254</v>
      </c>
      <c r="E20" s="63" t="s">
        <v>254</v>
      </c>
      <c r="F20" s="63" t="s">
        <v>254</v>
      </c>
      <c r="G20" s="63" t="s">
        <v>254</v>
      </c>
    </row>
    <row r="21" spans="1:7" ht="24.6" customHeight="1" x14ac:dyDescent="0.25">
      <c r="A21" s="91" t="s">
        <v>450</v>
      </c>
      <c r="B21" s="91" t="s">
        <v>451</v>
      </c>
      <c r="C21" s="92"/>
      <c r="D21" s="93" t="s">
        <v>452</v>
      </c>
      <c r="E21" s="93" t="s">
        <v>452</v>
      </c>
      <c r="F21" s="93" t="s">
        <v>452</v>
      </c>
      <c r="G21" s="93" t="s">
        <v>452</v>
      </c>
    </row>
    <row r="22" spans="1:7" ht="24.6" customHeight="1" x14ac:dyDescent="0.25">
      <c r="A22" s="91" t="s">
        <v>453</v>
      </c>
      <c r="B22" s="91" t="s">
        <v>454</v>
      </c>
      <c r="C22" s="92"/>
      <c r="D22" s="93" t="s">
        <v>455</v>
      </c>
      <c r="E22" s="93" t="s">
        <v>455</v>
      </c>
      <c r="F22" s="93" t="s">
        <v>455</v>
      </c>
      <c r="G22" s="93" t="s">
        <v>455</v>
      </c>
    </row>
    <row r="24" spans="1:7" ht="21" x14ac:dyDescent="0.25">
      <c r="A24" s="100" t="s">
        <v>459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D6719-1D0B-4128-9628-69BF2DE9E5CA}">
  <sheetPr>
    <tabColor rgb="FFDFF4FD"/>
  </sheetPr>
  <dimension ref="A1:FE27"/>
  <sheetViews>
    <sheetView topLeftCell="A5" zoomScale="112" zoomScaleNormal="112" workbookViewId="0">
      <selection activeCell="A15" sqref="A15:B21"/>
    </sheetView>
  </sheetViews>
  <sheetFormatPr defaultColWidth="9.140625" defaultRowHeight="12.75" x14ac:dyDescent="0.25"/>
  <cols>
    <col min="1" max="1" width="28.5703125" style="151" customWidth="1"/>
    <col min="2" max="2" width="38.85546875" style="151" customWidth="1"/>
    <col min="3" max="3" width="10.5703125" style="31" customWidth="1"/>
    <col min="4" max="4" width="24.28515625" style="31" customWidth="1"/>
    <col min="5" max="5" width="24.85546875" style="31" customWidth="1"/>
    <col min="6" max="16384" width="9.140625" style="151"/>
  </cols>
  <sheetData>
    <row r="1" spans="1:161" s="147" customFormat="1" ht="49.9" customHeight="1" x14ac:dyDescent="0.25">
      <c r="A1" s="117" t="s">
        <v>488</v>
      </c>
      <c r="B1" s="118"/>
      <c r="C1" s="119"/>
      <c r="D1" s="145" t="s">
        <v>49</v>
      </c>
      <c r="E1" s="145" t="s">
        <v>50</v>
      </c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6"/>
      <c r="BD1" s="146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  <c r="BR1" s="146"/>
      <c r="BS1" s="146"/>
      <c r="BT1" s="146"/>
      <c r="BU1" s="146"/>
      <c r="BV1" s="146"/>
      <c r="BW1" s="146"/>
      <c r="BX1" s="146"/>
      <c r="BY1" s="146"/>
      <c r="BZ1" s="146"/>
      <c r="CA1" s="146"/>
      <c r="CB1" s="146"/>
      <c r="CC1" s="146"/>
      <c r="CD1" s="146"/>
      <c r="CE1" s="146"/>
      <c r="CF1" s="146"/>
      <c r="CG1" s="146"/>
      <c r="CH1" s="146"/>
      <c r="CI1" s="146"/>
      <c r="CJ1" s="146"/>
      <c r="CK1" s="146"/>
      <c r="CL1" s="146"/>
      <c r="CM1" s="146"/>
      <c r="CN1" s="146"/>
      <c r="CO1" s="146"/>
      <c r="CP1" s="146"/>
      <c r="CQ1" s="146"/>
      <c r="CR1" s="146"/>
      <c r="CS1" s="146"/>
      <c r="CT1" s="146"/>
      <c r="CU1" s="146"/>
      <c r="CV1" s="146"/>
      <c r="CW1" s="146"/>
      <c r="CX1" s="146"/>
      <c r="CY1" s="146"/>
      <c r="CZ1" s="146"/>
      <c r="DA1" s="146"/>
      <c r="DB1" s="146"/>
      <c r="DC1" s="146"/>
      <c r="DD1" s="146"/>
      <c r="DE1" s="146"/>
      <c r="DF1" s="146"/>
      <c r="DG1" s="146"/>
      <c r="DH1" s="146"/>
      <c r="DI1" s="146"/>
      <c r="DJ1" s="146"/>
      <c r="DK1" s="146"/>
      <c r="DL1" s="146"/>
      <c r="DM1" s="146"/>
      <c r="DN1" s="146"/>
      <c r="DO1" s="146"/>
      <c r="DP1" s="146"/>
      <c r="DQ1" s="146"/>
      <c r="DR1" s="146"/>
      <c r="DS1" s="146"/>
      <c r="DT1" s="146"/>
      <c r="DU1" s="146"/>
      <c r="DV1" s="146"/>
      <c r="DW1" s="146"/>
      <c r="DX1" s="146"/>
      <c r="DY1" s="146"/>
      <c r="DZ1" s="146"/>
      <c r="EA1" s="146"/>
      <c r="EB1" s="146"/>
      <c r="EC1" s="146"/>
      <c r="ED1" s="146"/>
      <c r="EE1" s="146"/>
      <c r="EF1" s="146"/>
      <c r="EG1" s="146"/>
      <c r="EH1" s="146"/>
      <c r="EI1" s="146"/>
      <c r="EJ1" s="146"/>
      <c r="EK1" s="146"/>
      <c r="EL1" s="146"/>
      <c r="EM1" s="146"/>
      <c r="EN1" s="146"/>
      <c r="EO1" s="146"/>
      <c r="EP1" s="146"/>
      <c r="EQ1" s="146"/>
      <c r="ER1" s="146"/>
      <c r="ES1" s="146"/>
      <c r="ET1" s="146"/>
      <c r="EU1" s="146"/>
      <c r="EV1" s="146"/>
      <c r="EW1" s="146"/>
      <c r="EX1" s="146"/>
      <c r="EY1" s="146"/>
      <c r="EZ1" s="146"/>
      <c r="FA1" s="146"/>
      <c r="FB1" s="146"/>
      <c r="FC1" s="146"/>
      <c r="FD1" s="146"/>
      <c r="FE1" s="146"/>
    </row>
    <row r="2" spans="1:161" s="147" customFormat="1" ht="33" customHeight="1" x14ac:dyDescent="0.25">
      <c r="A2" s="148" t="s">
        <v>82</v>
      </c>
      <c r="B2" s="148" t="s">
        <v>129</v>
      </c>
      <c r="C2" s="149"/>
      <c r="D2" s="27" t="s">
        <v>79</v>
      </c>
      <c r="E2" s="27" t="s">
        <v>80</v>
      </c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0"/>
      <c r="AV2" s="150"/>
      <c r="AW2" s="150"/>
      <c r="AX2" s="150"/>
      <c r="AY2" s="150"/>
      <c r="AZ2" s="150"/>
      <c r="BA2" s="150"/>
      <c r="BB2" s="150"/>
      <c r="BC2" s="150"/>
      <c r="BD2" s="150"/>
      <c r="BE2" s="150"/>
      <c r="BF2" s="150"/>
      <c r="BG2" s="150"/>
      <c r="BH2" s="150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  <c r="BW2" s="150"/>
      <c r="BX2" s="150"/>
      <c r="BY2" s="150"/>
      <c r="BZ2" s="150"/>
      <c r="CA2" s="150"/>
      <c r="CB2" s="150"/>
      <c r="CC2" s="150"/>
      <c r="CD2" s="150"/>
      <c r="CE2" s="150"/>
      <c r="CF2" s="150"/>
      <c r="CG2" s="150"/>
      <c r="CH2" s="150"/>
      <c r="CI2" s="150"/>
      <c r="CJ2" s="150"/>
      <c r="CK2" s="150"/>
      <c r="CL2" s="150"/>
      <c r="CM2" s="150"/>
      <c r="CN2" s="150"/>
      <c r="CO2" s="150"/>
      <c r="CP2" s="150"/>
      <c r="CQ2" s="150"/>
      <c r="CR2" s="150"/>
      <c r="CS2" s="150"/>
      <c r="CT2" s="150"/>
      <c r="CU2" s="150"/>
      <c r="CV2" s="150"/>
      <c r="CW2" s="150"/>
      <c r="CX2" s="150"/>
      <c r="CY2" s="150"/>
      <c r="CZ2" s="150"/>
      <c r="DA2" s="150"/>
      <c r="DB2" s="150"/>
      <c r="DC2" s="150"/>
      <c r="DD2" s="150"/>
      <c r="DE2" s="150"/>
      <c r="DF2" s="150"/>
      <c r="DG2" s="150"/>
      <c r="DH2" s="150"/>
      <c r="DI2" s="150"/>
      <c r="DJ2" s="150"/>
      <c r="DK2" s="150"/>
      <c r="DL2" s="150"/>
      <c r="DM2" s="150"/>
      <c r="DN2" s="150"/>
      <c r="DO2" s="150"/>
      <c r="DP2" s="150"/>
      <c r="DQ2" s="150"/>
      <c r="DR2" s="150"/>
      <c r="DS2" s="150"/>
      <c r="DT2" s="150"/>
      <c r="DU2" s="150"/>
      <c r="DV2" s="150"/>
      <c r="DW2" s="150"/>
      <c r="DX2" s="150"/>
      <c r="DY2" s="150"/>
      <c r="DZ2" s="150"/>
      <c r="EA2" s="150"/>
      <c r="EB2" s="150"/>
      <c r="EC2" s="150"/>
      <c r="ED2" s="150"/>
      <c r="EE2" s="150"/>
      <c r="EF2" s="150"/>
      <c r="EG2" s="150"/>
      <c r="EH2" s="150"/>
      <c r="EI2" s="150"/>
      <c r="EJ2" s="150"/>
      <c r="EK2" s="150"/>
      <c r="EL2" s="150"/>
      <c r="EM2" s="150"/>
      <c r="EN2" s="150"/>
      <c r="EO2" s="150"/>
      <c r="EP2" s="150"/>
      <c r="EQ2" s="150"/>
      <c r="ER2" s="150"/>
      <c r="ES2" s="150"/>
      <c r="ET2" s="150"/>
      <c r="EU2" s="150"/>
      <c r="EV2" s="150"/>
      <c r="EW2" s="150"/>
      <c r="EX2" s="150"/>
      <c r="EY2" s="150"/>
      <c r="EZ2" s="150"/>
      <c r="FA2" s="150"/>
      <c r="FB2" s="150"/>
      <c r="FC2" s="150"/>
      <c r="FD2" s="150"/>
      <c r="FE2" s="150"/>
    </row>
    <row r="3" spans="1:161" ht="25.9" customHeight="1" x14ac:dyDescent="0.25">
      <c r="A3" s="55" t="s">
        <v>213</v>
      </c>
      <c r="B3" s="55" t="s">
        <v>214</v>
      </c>
      <c r="C3" s="9" t="s">
        <v>101</v>
      </c>
      <c r="D3" s="9" t="s">
        <v>281</v>
      </c>
      <c r="E3" s="9" t="s">
        <v>282</v>
      </c>
    </row>
    <row r="4" spans="1:161" ht="23.45" customHeight="1" x14ac:dyDescent="0.25">
      <c r="A4" s="8" t="s">
        <v>228</v>
      </c>
      <c r="B4" s="8" t="s">
        <v>229</v>
      </c>
      <c r="C4" s="9" t="s">
        <v>222</v>
      </c>
      <c r="D4" s="9">
        <v>3</v>
      </c>
      <c r="E4" s="9">
        <v>3</v>
      </c>
    </row>
    <row r="5" spans="1:161" ht="23.45" customHeight="1" x14ac:dyDescent="0.25">
      <c r="A5" s="8" t="s">
        <v>223</v>
      </c>
      <c r="B5" s="8" t="s">
        <v>230</v>
      </c>
      <c r="C5" s="9" t="s">
        <v>231</v>
      </c>
      <c r="D5" s="9">
        <v>1500</v>
      </c>
      <c r="E5" s="9">
        <v>2500</v>
      </c>
    </row>
    <row r="6" spans="1:161" ht="23.45" customHeight="1" x14ac:dyDescent="0.25">
      <c r="A6" s="8" t="s">
        <v>224</v>
      </c>
      <c r="B6" s="19" t="s">
        <v>232</v>
      </c>
      <c r="C6" s="9" t="s">
        <v>101</v>
      </c>
      <c r="D6" s="9" t="s">
        <v>267</v>
      </c>
      <c r="E6" s="9" t="s">
        <v>268</v>
      </c>
    </row>
    <row r="7" spans="1:161" ht="23.45" customHeight="1" x14ac:dyDescent="0.25">
      <c r="A7" s="8" t="s">
        <v>225</v>
      </c>
      <c r="B7" s="8" t="s">
        <v>233</v>
      </c>
      <c r="C7" s="9" t="s">
        <v>101</v>
      </c>
      <c r="D7" s="9">
        <v>6000</v>
      </c>
      <c r="E7" s="9">
        <v>7200</v>
      </c>
    </row>
    <row r="8" spans="1:161" ht="23.45" customHeight="1" x14ac:dyDescent="0.25">
      <c r="A8" s="8" t="s">
        <v>234</v>
      </c>
      <c r="B8" s="8" t="s">
        <v>235</v>
      </c>
      <c r="C8" s="9" t="s">
        <v>236</v>
      </c>
      <c r="D8" s="9">
        <v>600</v>
      </c>
      <c r="E8" s="9">
        <v>900</v>
      </c>
    </row>
    <row r="9" spans="1:161" ht="23.45" customHeight="1" x14ac:dyDescent="0.25">
      <c r="A9" s="8" t="s">
        <v>269</v>
      </c>
      <c r="B9" s="8" t="s">
        <v>270</v>
      </c>
      <c r="C9" s="9" t="s">
        <v>236</v>
      </c>
      <c r="D9" s="9">
        <v>600</v>
      </c>
      <c r="E9" s="9">
        <v>900</v>
      </c>
    </row>
    <row r="10" spans="1:161" ht="23.45" customHeight="1" x14ac:dyDescent="0.25">
      <c r="A10" s="8" t="s">
        <v>271</v>
      </c>
      <c r="B10" s="8" t="s">
        <v>272</v>
      </c>
      <c r="C10" s="9" t="s">
        <v>236</v>
      </c>
      <c r="D10" s="9">
        <v>600</v>
      </c>
      <c r="E10" s="9">
        <v>900</v>
      </c>
    </row>
    <row r="11" spans="1:161" ht="23.45" customHeight="1" x14ac:dyDescent="0.25">
      <c r="A11" s="8" t="s">
        <v>257</v>
      </c>
      <c r="B11" s="8" t="s">
        <v>258</v>
      </c>
      <c r="C11" s="9" t="s">
        <v>227</v>
      </c>
      <c r="D11" s="9">
        <v>85</v>
      </c>
      <c r="E11" s="9">
        <v>85</v>
      </c>
    </row>
    <row r="12" spans="1:161" ht="23.45" customHeight="1" x14ac:dyDescent="0.25">
      <c r="A12" s="8" t="s">
        <v>174</v>
      </c>
      <c r="B12" s="8" t="s">
        <v>239</v>
      </c>
      <c r="C12" s="9" t="s">
        <v>105</v>
      </c>
      <c r="D12" s="9">
        <v>2.2000000000000002</v>
      </c>
      <c r="E12" s="9">
        <v>3</v>
      </c>
    </row>
    <row r="13" spans="1:161" ht="23.45" customHeight="1" x14ac:dyDescent="0.25">
      <c r="A13" s="8" t="s">
        <v>273</v>
      </c>
      <c r="B13" s="8" t="s">
        <v>274</v>
      </c>
      <c r="C13" s="9" t="s">
        <v>105</v>
      </c>
      <c r="D13" s="9">
        <v>1.5</v>
      </c>
      <c r="E13" s="9">
        <v>2.2000000000000002</v>
      </c>
    </row>
    <row r="14" spans="1:161" ht="23.45" customHeight="1" x14ac:dyDescent="0.25">
      <c r="A14" s="8" t="s">
        <v>275</v>
      </c>
      <c r="B14" s="8" t="s">
        <v>276</v>
      </c>
      <c r="C14" s="9" t="s">
        <v>105</v>
      </c>
      <c r="D14" s="9">
        <v>1.5</v>
      </c>
      <c r="E14" s="9">
        <v>2.2000000000000002</v>
      </c>
    </row>
    <row r="15" spans="1:161" ht="23.45" customHeight="1" x14ac:dyDescent="0.25">
      <c r="A15" s="8" t="s">
        <v>240</v>
      </c>
      <c r="B15" s="8" t="s">
        <v>241</v>
      </c>
      <c r="C15" s="9" t="s">
        <v>105</v>
      </c>
      <c r="D15" s="9">
        <v>2.2000000000000002</v>
      </c>
      <c r="E15" s="9">
        <v>3</v>
      </c>
    </row>
    <row r="16" spans="1:161" ht="23.45" customHeight="1" x14ac:dyDescent="0.25">
      <c r="A16" s="8" t="s">
        <v>242</v>
      </c>
      <c r="B16" s="8" t="s">
        <v>243</v>
      </c>
      <c r="C16" s="9" t="s">
        <v>105</v>
      </c>
      <c r="D16" s="9">
        <v>24.75</v>
      </c>
      <c r="E16" s="9">
        <v>33</v>
      </c>
    </row>
    <row r="17" spans="1:5" ht="23.45" customHeight="1" x14ac:dyDescent="0.25">
      <c r="A17" s="8" t="s">
        <v>277</v>
      </c>
      <c r="B17" s="8" t="s">
        <v>278</v>
      </c>
      <c r="C17" s="9" t="s">
        <v>105</v>
      </c>
      <c r="D17" s="9">
        <v>24.75</v>
      </c>
      <c r="E17" s="9">
        <v>33</v>
      </c>
    </row>
    <row r="18" spans="1:5" ht="23.45" customHeight="1" x14ac:dyDescent="0.25">
      <c r="A18" s="8" t="s">
        <v>279</v>
      </c>
      <c r="B18" s="8" t="s">
        <v>280</v>
      </c>
      <c r="C18" s="9" t="s">
        <v>105</v>
      </c>
      <c r="D18" s="9">
        <v>24.75</v>
      </c>
      <c r="E18" s="9">
        <v>33</v>
      </c>
    </row>
    <row r="19" spans="1:5" ht="23.45" customHeight="1" x14ac:dyDescent="0.25">
      <c r="A19" s="8" t="s">
        <v>244</v>
      </c>
      <c r="B19" s="8" t="s">
        <v>245</v>
      </c>
      <c r="C19" s="9" t="s">
        <v>105</v>
      </c>
      <c r="D19" s="9">
        <v>12.6</v>
      </c>
      <c r="E19" s="9">
        <v>12.6</v>
      </c>
    </row>
    <row r="20" spans="1:5" ht="23.45" customHeight="1" x14ac:dyDescent="0.25">
      <c r="A20" s="19" t="s">
        <v>481</v>
      </c>
      <c r="B20" s="152" t="s">
        <v>485</v>
      </c>
      <c r="C20" s="9" t="s">
        <v>105</v>
      </c>
      <c r="D20" s="9">
        <v>0.55000000000000004</v>
      </c>
      <c r="E20" s="9">
        <v>0.75</v>
      </c>
    </row>
    <row r="21" spans="1:5" ht="23.45" customHeight="1" x14ac:dyDescent="0.25">
      <c r="A21" s="19" t="s">
        <v>482</v>
      </c>
      <c r="B21" s="152" t="s">
        <v>486</v>
      </c>
      <c r="C21" s="9" t="s">
        <v>105</v>
      </c>
      <c r="D21" s="9">
        <v>0.75</v>
      </c>
      <c r="E21" s="9">
        <v>1.5</v>
      </c>
    </row>
    <row r="22" spans="1:5" ht="23.45" customHeight="1" x14ac:dyDescent="0.25">
      <c r="A22" s="19" t="s">
        <v>487</v>
      </c>
      <c r="B22" s="19" t="s">
        <v>480</v>
      </c>
      <c r="C22" s="9" t="s">
        <v>105</v>
      </c>
      <c r="D22" s="9">
        <f>SUM(D12:D21)</f>
        <v>95.55</v>
      </c>
      <c r="E22" s="9">
        <f>SUM(E12:E21)</f>
        <v>124.25</v>
      </c>
    </row>
    <row r="23" spans="1:5" ht="23.45" customHeight="1" x14ac:dyDescent="0.25">
      <c r="A23" s="8" t="s">
        <v>246</v>
      </c>
      <c r="B23" s="8" t="s">
        <v>247</v>
      </c>
      <c r="C23" s="9" t="s">
        <v>248</v>
      </c>
      <c r="D23" s="9" t="s">
        <v>254</v>
      </c>
      <c r="E23" s="9" t="s">
        <v>254</v>
      </c>
    </row>
    <row r="24" spans="1:5" ht="22.9" customHeight="1" x14ac:dyDescent="0.25">
      <c r="A24" s="91" t="s">
        <v>450</v>
      </c>
      <c r="B24" s="91" t="s">
        <v>451</v>
      </c>
      <c r="C24" s="92"/>
      <c r="D24" s="93" t="s">
        <v>452</v>
      </c>
      <c r="E24" s="93" t="s">
        <v>452</v>
      </c>
    </row>
    <row r="25" spans="1:5" ht="21.6" customHeight="1" x14ac:dyDescent="0.25">
      <c r="A25" s="91" t="s">
        <v>453</v>
      </c>
      <c r="B25" s="91" t="s">
        <v>454</v>
      </c>
      <c r="C25" s="92"/>
      <c r="D25" s="93" t="s">
        <v>455</v>
      </c>
      <c r="E25" s="93" t="s">
        <v>455</v>
      </c>
    </row>
    <row r="27" spans="1:5" ht="13.5" x14ac:dyDescent="0.25">
      <c r="A27" s="153" t="s">
        <v>459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5ACF5-0644-4B54-8417-DEEF789F466A}">
  <sheetPr>
    <tabColor rgb="FFFF0000"/>
  </sheetPr>
  <dimension ref="A1:EZ22"/>
  <sheetViews>
    <sheetView topLeftCell="A4" zoomScale="80" zoomScaleNormal="80" workbookViewId="0">
      <selection activeCell="K19" sqref="K19"/>
    </sheetView>
  </sheetViews>
  <sheetFormatPr defaultColWidth="9.140625" defaultRowHeight="15" x14ac:dyDescent="0.25"/>
  <cols>
    <col min="1" max="1" width="28.5703125" style="88" customWidth="1"/>
    <col min="2" max="2" width="29.5703125" style="88" customWidth="1"/>
    <col min="3" max="3" width="11.7109375" style="24" customWidth="1"/>
    <col min="4" max="4" width="24" style="24" customWidth="1"/>
    <col min="5" max="16384" width="9.140625" style="88"/>
  </cols>
  <sheetData>
    <row r="1" spans="1:156" s="144" customFormat="1" ht="48" customHeight="1" x14ac:dyDescent="0.25">
      <c r="A1" s="120" t="s">
        <v>313</v>
      </c>
      <c r="B1" s="121"/>
      <c r="C1" s="122"/>
      <c r="D1" s="76" t="s">
        <v>51</v>
      </c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3"/>
      <c r="AR1" s="143"/>
      <c r="AS1" s="143"/>
      <c r="AT1" s="143"/>
      <c r="AU1" s="143"/>
      <c r="AV1" s="143"/>
      <c r="AW1" s="143"/>
      <c r="AX1" s="143"/>
      <c r="AY1" s="143"/>
      <c r="AZ1" s="143"/>
      <c r="BA1" s="143"/>
      <c r="BB1" s="143"/>
      <c r="BC1" s="143"/>
      <c r="BD1" s="143"/>
      <c r="BE1" s="143"/>
      <c r="BF1" s="143"/>
      <c r="BG1" s="143"/>
      <c r="BH1" s="143"/>
      <c r="BI1" s="143"/>
      <c r="BJ1" s="143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  <c r="BW1" s="143"/>
      <c r="BX1" s="143"/>
      <c r="BY1" s="143"/>
      <c r="BZ1" s="143"/>
      <c r="CA1" s="143"/>
      <c r="CB1" s="143"/>
      <c r="CC1" s="143"/>
      <c r="CD1" s="143"/>
      <c r="CE1" s="143"/>
      <c r="CF1" s="143"/>
      <c r="CG1" s="143"/>
      <c r="CH1" s="143"/>
      <c r="CI1" s="143"/>
      <c r="CJ1" s="143"/>
      <c r="CK1" s="143"/>
      <c r="CL1" s="143"/>
      <c r="CM1" s="143"/>
      <c r="CN1" s="143"/>
      <c r="CO1" s="143"/>
      <c r="CP1" s="143"/>
      <c r="CQ1" s="143"/>
      <c r="CR1" s="143"/>
      <c r="CS1" s="143"/>
      <c r="CT1" s="143"/>
      <c r="CU1" s="143"/>
      <c r="CV1" s="143"/>
      <c r="CW1" s="143"/>
      <c r="CX1" s="143"/>
      <c r="CY1" s="143"/>
      <c r="CZ1" s="143"/>
      <c r="DA1" s="143"/>
      <c r="DB1" s="143"/>
      <c r="DC1" s="143"/>
      <c r="DD1" s="143"/>
      <c r="DE1" s="143"/>
      <c r="DF1" s="143"/>
      <c r="DG1" s="143"/>
      <c r="DH1" s="143"/>
      <c r="DI1" s="143"/>
      <c r="DJ1" s="143"/>
      <c r="DK1" s="143"/>
      <c r="DL1" s="143"/>
      <c r="DM1" s="143"/>
      <c r="DN1" s="143"/>
      <c r="DO1" s="143"/>
      <c r="DP1" s="143"/>
      <c r="DQ1" s="143"/>
      <c r="DR1" s="143"/>
      <c r="DS1" s="143"/>
      <c r="DT1" s="143"/>
      <c r="DU1" s="143"/>
      <c r="DV1" s="143"/>
      <c r="DW1" s="143"/>
      <c r="DX1" s="143"/>
      <c r="DY1" s="143"/>
      <c r="DZ1" s="143"/>
      <c r="EA1" s="143"/>
      <c r="EB1" s="143"/>
      <c r="EC1" s="143"/>
      <c r="ED1" s="143"/>
      <c r="EE1" s="143"/>
      <c r="EF1" s="143"/>
      <c r="EG1" s="143"/>
      <c r="EH1" s="143"/>
      <c r="EI1" s="143"/>
      <c r="EJ1" s="143"/>
      <c r="EK1" s="143"/>
      <c r="EL1" s="143"/>
      <c r="EM1" s="143"/>
      <c r="EN1" s="143"/>
      <c r="EO1" s="143"/>
      <c r="EP1" s="143"/>
      <c r="EQ1" s="143"/>
      <c r="ER1" s="143"/>
      <c r="ES1" s="143"/>
      <c r="ET1" s="143"/>
      <c r="EU1" s="143"/>
      <c r="EV1" s="143"/>
      <c r="EW1" s="143"/>
      <c r="EX1" s="143"/>
      <c r="EY1" s="143"/>
      <c r="EZ1" s="143"/>
    </row>
    <row r="2" spans="1:156" s="144" customFormat="1" ht="35.450000000000003" customHeight="1" x14ac:dyDescent="0.25">
      <c r="A2" s="44" t="s">
        <v>82</v>
      </c>
      <c r="B2" s="44" t="s">
        <v>83</v>
      </c>
      <c r="C2" s="99"/>
      <c r="D2" s="27" t="s">
        <v>81</v>
      </c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</row>
    <row r="3" spans="1:156" s="11" customFormat="1" ht="29.45" customHeight="1" x14ac:dyDescent="0.25">
      <c r="A3" s="154" t="s">
        <v>113</v>
      </c>
      <c r="B3" s="154" t="s">
        <v>114</v>
      </c>
      <c r="C3" s="9" t="s">
        <v>101</v>
      </c>
      <c r="D3" s="6" t="s">
        <v>304</v>
      </c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</row>
    <row r="4" spans="1:156" ht="29.45" customHeight="1" x14ac:dyDescent="0.25">
      <c r="A4" s="19" t="s">
        <v>283</v>
      </c>
      <c r="B4" s="19" t="s">
        <v>284</v>
      </c>
      <c r="C4" s="9" t="s">
        <v>101</v>
      </c>
      <c r="D4" s="6" t="s">
        <v>285</v>
      </c>
    </row>
    <row r="5" spans="1:156" ht="29.45" customHeight="1" x14ac:dyDescent="0.25">
      <c r="A5" s="19" t="s">
        <v>286</v>
      </c>
      <c r="B5" s="19" t="s">
        <v>287</v>
      </c>
      <c r="C5" s="9" t="s">
        <v>102</v>
      </c>
      <c r="D5" s="6" t="s">
        <v>288</v>
      </c>
    </row>
    <row r="6" spans="1:156" ht="29.45" customHeight="1" x14ac:dyDescent="0.25">
      <c r="A6" s="19" t="s">
        <v>289</v>
      </c>
      <c r="B6" s="19" t="s">
        <v>290</v>
      </c>
      <c r="C6" s="9" t="s">
        <v>103</v>
      </c>
      <c r="D6" s="6">
        <v>500</v>
      </c>
    </row>
    <row r="7" spans="1:156" ht="29.45" customHeight="1" x14ac:dyDescent="0.25">
      <c r="A7" s="19" t="s">
        <v>291</v>
      </c>
      <c r="B7" s="19" t="s">
        <v>292</v>
      </c>
      <c r="C7" s="9" t="s">
        <v>103</v>
      </c>
      <c r="D7" s="6">
        <v>500</v>
      </c>
    </row>
    <row r="8" spans="1:156" ht="29.45" customHeight="1" x14ac:dyDescent="0.25">
      <c r="A8" s="19" t="s">
        <v>298</v>
      </c>
      <c r="B8" s="19" t="s">
        <v>299</v>
      </c>
      <c r="C8" s="9" t="s">
        <v>227</v>
      </c>
      <c r="D8" s="6" t="s">
        <v>300</v>
      </c>
    </row>
    <row r="9" spans="1:156" ht="29.45" customHeight="1" x14ac:dyDescent="0.25">
      <c r="A9" s="19" t="s">
        <v>301</v>
      </c>
      <c r="B9" s="19" t="s">
        <v>302</v>
      </c>
      <c r="C9" s="9" t="s">
        <v>249</v>
      </c>
      <c r="D9" s="6" t="s">
        <v>303</v>
      </c>
    </row>
    <row r="10" spans="1:156" ht="29.45" customHeight="1" x14ac:dyDescent="0.25">
      <c r="A10" s="19" t="s">
        <v>174</v>
      </c>
      <c r="B10" s="19" t="s">
        <v>293</v>
      </c>
      <c r="C10" s="9" t="s">
        <v>105</v>
      </c>
      <c r="D10" s="6">
        <v>4</v>
      </c>
    </row>
    <row r="11" spans="1:156" ht="29.45" customHeight="1" x14ac:dyDescent="0.25">
      <c r="A11" s="19" t="s">
        <v>259</v>
      </c>
      <c r="B11" s="19" t="s">
        <v>294</v>
      </c>
      <c r="C11" s="9" t="s">
        <v>105</v>
      </c>
      <c r="D11" s="6">
        <v>4</v>
      </c>
    </row>
    <row r="12" spans="1:156" ht="29.45" customHeight="1" x14ac:dyDescent="0.25">
      <c r="A12" s="19" t="s">
        <v>295</v>
      </c>
      <c r="B12" s="19" t="s">
        <v>296</v>
      </c>
      <c r="C12" s="9" t="s">
        <v>297</v>
      </c>
      <c r="D12" s="6">
        <v>500</v>
      </c>
    </row>
    <row r="13" spans="1:156" ht="29.45" customHeight="1" x14ac:dyDescent="0.25">
      <c r="A13" s="19" t="s">
        <v>242</v>
      </c>
      <c r="B13" s="19" t="s">
        <v>243</v>
      </c>
      <c r="C13" s="9" t="s">
        <v>105</v>
      </c>
      <c r="D13" s="6">
        <v>16.25</v>
      </c>
    </row>
    <row r="14" spans="1:156" ht="29.45" customHeight="1" x14ac:dyDescent="0.25">
      <c r="A14" s="19" t="s">
        <v>261</v>
      </c>
      <c r="B14" s="19" t="s">
        <v>262</v>
      </c>
      <c r="C14" s="9" t="s">
        <v>105</v>
      </c>
      <c r="D14" s="6">
        <v>16.25</v>
      </c>
    </row>
    <row r="15" spans="1:156" ht="29.45" customHeight="1" x14ac:dyDescent="0.25">
      <c r="A15" s="19" t="s">
        <v>240</v>
      </c>
      <c r="B15" s="19" t="s">
        <v>489</v>
      </c>
      <c r="C15" s="9" t="s">
        <v>105</v>
      </c>
      <c r="D15" s="6">
        <v>4</v>
      </c>
    </row>
    <row r="16" spans="1:156" ht="29.45" customHeight="1" x14ac:dyDescent="0.25">
      <c r="A16" s="8" t="s">
        <v>244</v>
      </c>
      <c r="B16" s="8" t="s">
        <v>245</v>
      </c>
      <c r="C16" s="9" t="s">
        <v>105</v>
      </c>
      <c r="D16" s="6">
        <v>12.6</v>
      </c>
    </row>
    <row r="17" spans="1:4" ht="29.45" customHeight="1" x14ac:dyDescent="0.25">
      <c r="A17" s="19" t="s">
        <v>481</v>
      </c>
      <c r="B17" s="152" t="s">
        <v>485</v>
      </c>
      <c r="C17" s="9" t="s">
        <v>105</v>
      </c>
      <c r="D17" s="6">
        <v>0.37</v>
      </c>
    </row>
    <row r="18" spans="1:4" ht="29.45" customHeight="1" x14ac:dyDescent="0.25">
      <c r="A18" s="19" t="s">
        <v>482</v>
      </c>
      <c r="B18" s="152" t="s">
        <v>486</v>
      </c>
      <c r="C18" s="9" t="s">
        <v>105</v>
      </c>
      <c r="D18" s="6">
        <v>0.37</v>
      </c>
    </row>
    <row r="19" spans="1:4" ht="29.45" customHeight="1" x14ac:dyDescent="0.25">
      <c r="A19" s="19" t="s">
        <v>487</v>
      </c>
      <c r="B19" s="19" t="s">
        <v>480</v>
      </c>
      <c r="C19" s="9" t="s">
        <v>105</v>
      </c>
      <c r="D19" s="6">
        <f>D10+D13+D14+D16+D17+D18</f>
        <v>49.839999999999996</v>
      </c>
    </row>
    <row r="20" spans="1:4" ht="29.45" customHeight="1" x14ac:dyDescent="0.25">
      <c r="A20" s="8" t="s">
        <v>246</v>
      </c>
      <c r="B20" s="8" t="s">
        <v>247</v>
      </c>
      <c r="C20" s="9" t="s">
        <v>248</v>
      </c>
      <c r="D20" s="9" t="s">
        <v>254</v>
      </c>
    </row>
    <row r="21" spans="1:4" ht="24.6" customHeight="1" x14ac:dyDescent="0.25">
      <c r="A21" s="89" t="s">
        <v>450</v>
      </c>
      <c r="B21" s="89" t="s">
        <v>451</v>
      </c>
      <c r="C21" s="90"/>
      <c r="D21" s="90" t="s">
        <v>456</v>
      </c>
    </row>
    <row r="22" spans="1:4" ht="24.6" customHeight="1" x14ac:dyDescent="0.25">
      <c r="A22" s="89" t="s">
        <v>453</v>
      </c>
      <c r="B22" s="89" t="s">
        <v>454</v>
      </c>
      <c r="C22" s="90"/>
      <c r="D22" s="90" t="s">
        <v>457</v>
      </c>
    </row>
  </sheetData>
  <mergeCells count="1">
    <mergeCell ref="A1:C1"/>
  </mergeCells>
  <phoneticPr fontId="5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62A78-7E7E-440C-8075-FD13549581A1}">
  <sheetPr>
    <tabColor rgb="FFDFF4FD"/>
  </sheetPr>
  <dimension ref="A1:G30"/>
  <sheetViews>
    <sheetView topLeftCell="A12" zoomScale="80" zoomScaleNormal="80" workbookViewId="0">
      <selection activeCell="A6" sqref="A6"/>
    </sheetView>
  </sheetViews>
  <sheetFormatPr defaultColWidth="8.85546875" defaultRowHeight="13.5" x14ac:dyDescent="0.25"/>
  <cols>
    <col min="1" max="1" width="24.5703125" style="35" bestFit="1" customWidth="1"/>
    <col min="2" max="2" width="27.28515625" style="35" customWidth="1"/>
    <col min="3" max="3" width="11.85546875" style="35" customWidth="1"/>
    <col min="4" max="4" width="27.140625" style="36" bestFit="1" customWidth="1"/>
    <col min="5" max="7" width="28.7109375" style="36" bestFit="1" customWidth="1"/>
    <col min="8" max="16384" width="8.85546875" style="35"/>
  </cols>
  <sheetData>
    <row r="1" spans="1:7" ht="35.450000000000003" customHeight="1" x14ac:dyDescent="0.25">
      <c r="A1" s="128" t="s">
        <v>312</v>
      </c>
      <c r="B1" s="129"/>
      <c r="C1" s="130"/>
      <c r="D1" s="126" t="s">
        <v>121</v>
      </c>
      <c r="E1" s="127"/>
      <c r="F1" s="126" t="s">
        <v>122</v>
      </c>
      <c r="G1" s="127"/>
    </row>
    <row r="2" spans="1:7" ht="28.15" customHeight="1" x14ac:dyDescent="0.25">
      <c r="A2" s="131"/>
      <c r="B2" s="132"/>
      <c r="C2" s="133"/>
      <c r="D2" s="75" t="s">
        <v>52</v>
      </c>
      <c r="E2" s="75" t="s">
        <v>305</v>
      </c>
      <c r="F2" s="75" t="s">
        <v>53</v>
      </c>
      <c r="G2" s="75" t="s">
        <v>306</v>
      </c>
    </row>
    <row r="3" spans="1:7" ht="39.6" customHeight="1" x14ac:dyDescent="0.25">
      <c r="A3" s="83" t="s">
        <v>82</v>
      </c>
      <c r="B3" s="83" t="s">
        <v>83</v>
      </c>
      <c r="C3" s="99"/>
      <c r="D3" s="42" t="s">
        <v>426</v>
      </c>
      <c r="E3" s="42" t="s">
        <v>428</v>
      </c>
      <c r="F3" s="42" t="s">
        <v>427</v>
      </c>
      <c r="G3" s="42" t="s">
        <v>429</v>
      </c>
    </row>
    <row r="4" spans="1:7" ht="36" customHeight="1" x14ac:dyDescent="0.25">
      <c r="A4" s="41" t="s">
        <v>213</v>
      </c>
      <c r="B4" s="41" t="s">
        <v>214</v>
      </c>
      <c r="C4" s="9" t="s">
        <v>101</v>
      </c>
      <c r="D4" s="95" t="s">
        <v>490</v>
      </c>
      <c r="E4" s="95" t="s">
        <v>491</v>
      </c>
      <c r="F4" s="95" t="s">
        <v>492</v>
      </c>
      <c r="G4" s="95" t="s">
        <v>493</v>
      </c>
    </row>
    <row r="5" spans="1:7" ht="28.5" customHeight="1" x14ac:dyDescent="0.25">
      <c r="A5" s="19" t="s">
        <v>123</v>
      </c>
      <c r="B5" s="19" t="s">
        <v>124</v>
      </c>
      <c r="C5" s="9" t="s">
        <v>101</v>
      </c>
      <c r="D5" s="42">
        <v>600</v>
      </c>
      <c r="E5" s="43">
        <v>900</v>
      </c>
      <c r="F5" s="43">
        <v>600</v>
      </c>
      <c r="G5" s="43">
        <v>900</v>
      </c>
    </row>
    <row r="6" spans="1:7" ht="28.5" customHeight="1" x14ac:dyDescent="0.25">
      <c r="A6" s="19" t="s">
        <v>85</v>
      </c>
      <c r="B6" s="19" t="s">
        <v>93</v>
      </c>
      <c r="C6" s="9" t="s">
        <v>101</v>
      </c>
      <c r="D6" s="43">
        <v>300</v>
      </c>
      <c r="E6" s="43">
        <v>300</v>
      </c>
      <c r="F6" s="43">
        <v>300</v>
      </c>
      <c r="G6" s="43">
        <v>300</v>
      </c>
    </row>
    <row r="7" spans="1:7" ht="28.5" customHeight="1" x14ac:dyDescent="0.25">
      <c r="A7" s="19" t="s">
        <v>86</v>
      </c>
      <c r="B7" s="19" t="s">
        <v>94</v>
      </c>
      <c r="C7" s="9" t="s">
        <v>494</v>
      </c>
      <c r="D7" s="43">
        <v>50</v>
      </c>
      <c r="E7" s="43">
        <v>75</v>
      </c>
      <c r="F7" s="43">
        <v>50</v>
      </c>
      <c r="G7" s="43">
        <v>75</v>
      </c>
    </row>
    <row r="8" spans="1:7" ht="28.5" customHeight="1" x14ac:dyDescent="0.25">
      <c r="A8" s="19" t="s">
        <v>495</v>
      </c>
      <c r="B8" s="19" t="s">
        <v>496</v>
      </c>
      <c r="C8" s="9" t="s">
        <v>103</v>
      </c>
      <c r="D8" s="42">
        <v>500</v>
      </c>
      <c r="E8" s="42">
        <v>500</v>
      </c>
      <c r="F8" s="42">
        <v>500</v>
      </c>
      <c r="G8" s="42">
        <v>500</v>
      </c>
    </row>
    <row r="9" spans="1:7" ht="28.5" customHeight="1" x14ac:dyDescent="0.25">
      <c r="A9" s="19" t="s">
        <v>497</v>
      </c>
      <c r="B9" s="19" t="s">
        <v>498</v>
      </c>
      <c r="C9" s="9" t="s">
        <v>103</v>
      </c>
      <c r="D9" s="42">
        <v>500</v>
      </c>
      <c r="E9" s="42">
        <v>500</v>
      </c>
      <c r="F9" s="42">
        <v>500</v>
      </c>
      <c r="G9" s="42">
        <v>500</v>
      </c>
    </row>
    <row r="10" spans="1:7" ht="28.5" customHeight="1" x14ac:dyDescent="0.25">
      <c r="A10" s="19" t="s">
        <v>499</v>
      </c>
      <c r="B10" s="19" t="s">
        <v>512</v>
      </c>
      <c r="C10" s="9" t="s">
        <v>103</v>
      </c>
      <c r="D10" s="42"/>
      <c r="E10" s="42"/>
      <c r="F10" s="42">
        <v>500</v>
      </c>
      <c r="G10" s="42">
        <v>500</v>
      </c>
    </row>
    <row r="11" spans="1:7" ht="28.5" customHeight="1" x14ac:dyDescent="0.25">
      <c r="A11" s="19" t="s">
        <v>91</v>
      </c>
      <c r="B11" s="19" t="s">
        <v>100</v>
      </c>
      <c r="C11" s="9" t="s">
        <v>111</v>
      </c>
      <c r="D11" s="43" t="s">
        <v>307</v>
      </c>
      <c r="E11" s="43" t="s">
        <v>307</v>
      </c>
      <c r="F11" s="43" t="s">
        <v>307</v>
      </c>
      <c r="G11" s="43" t="s">
        <v>307</v>
      </c>
    </row>
    <row r="12" spans="1:7" ht="28.5" customHeight="1" x14ac:dyDescent="0.25">
      <c r="A12" s="19" t="s">
        <v>500</v>
      </c>
      <c r="B12" s="19" t="s">
        <v>501</v>
      </c>
      <c r="C12" s="9" t="s">
        <v>105</v>
      </c>
      <c r="D12" s="43">
        <v>3</v>
      </c>
      <c r="E12" s="43">
        <v>4</v>
      </c>
      <c r="F12" s="43">
        <v>3</v>
      </c>
      <c r="G12" s="43">
        <v>3</v>
      </c>
    </row>
    <row r="13" spans="1:7" ht="28.5" customHeight="1" x14ac:dyDescent="0.25">
      <c r="A13" s="19" t="s">
        <v>502</v>
      </c>
      <c r="B13" s="19" t="s">
        <v>504</v>
      </c>
      <c r="C13" s="9" t="s">
        <v>105</v>
      </c>
      <c r="D13" s="43">
        <v>2.2000000000000002</v>
      </c>
      <c r="E13" s="43">
        <v>3</v>
      </c>
      <c r="F13" s="43">
        <v>2.2000000000000002</v>
      </c>
      <c r="G13" s="43">
        <v>2.2000000000000002</v>
      </c>
    </row>
    <row r="14" spans="1:7" ht="28.5" customHeight="1" x14ac:dyDescent="0.25">
      <c r="A14" s="19" t="s">
        <v>503</v>
      </c>
      <c r="B14" s="19" t="s">
        <v>505</v>
      </c>
      <c r="C14" s="9" t="s">
        <v>105</v>
      </c>
      <c r="D14" s="43"/>
      <c r="E14" s="43"/>
      <c r="F14" s="43">
        <v>2.2000000000000002</v>
      </c>
      <c r="G14" s="43">
        <v>2.2000000000000002</v>
      </c>
    </row>
    <row r="15" spans="1:7" ht="28.5" customHeight="1" x14ac:dyDescent="0.25">
      <c r="A15" s="19" t="s">
        <v>104</v>
      </c>
      <c r="B15" s="19" t="s">
        <v>97</v>
      </c>
      <c r="C15" s="9" t="s">
        <v>106</v>
      </c>
      <c r="D15" s="43" t="s">
        <v>308</v>
      </c>
      <c r="E15" s="43" t="s">
        <v>309</v>
      </c>
      <c r="F15" s="43" t="s">
        <v>308</v>
      </c>
      <c r="G15" s="43" t="s">
        <v>309</v>
      </c>
    </row>
    <row r="16" spans="1:7" ht="28.5" customHeight="1" x14ac:dyDescent="0.25">
      <c r="A16" s="8" t="s">
        <v>240</v>
      </c>
      <c r="B16" s="8" t="s">
        <v>478</v>
      </c>
      <c r="C16" s="9" t="s">
        <v>105</v>
      </c>
      <c r="D16" s="43">
        <v>3</v>
      </c>
      <c r="E16" s="43">
        <v>4</v>
      </c>
      <c r="F16" s="43">
        <v>3</v>
      </c>
      <c r="G16" s="43">
        <v>4</v>
      </c>
    </row>
    <row r="17" spans="1:7" ht="28.5" customHeight="1" x14ac:dyDescent="0.25">
      <c r="A17" s="8" t="s">
        <v>242</v>
      </c>
      <c r="B17" s="8" t="s">
        <v>506</v>
      </c>
      <c r="C17" s="9" t="s">
        <v>105</v>
      </c>
      <c r="D17" s="43">
        <v>16.25</v>
      </c>
      <c r="E17" s="43">
        <v>16.25</v>
      </c>
      <c r="F17" s="43">
        <v>16.25</v>
      </c>
      <c r="G17" s="43">
        <v>16.25</v>
      </c>
    </row>
    <row r="18" spans="1:7" ht="28.5" customHeight="1" x14ac:dyDescent="0.25">
      <c r="A18" s="8" t="s">
        <v>277</v>
      </c>
      <c r="B18" s="8" t="s">
        <v>507</v>
      </c>
      <c r="C18" s="9" t="s">
        <v>105</v>
      </c>
      <c r="D18" s="43">
        <v>16.25</v>
      </c>
      <c r="E18" s="43">
        <v>16.25</v>
      </c>
      <c r="F18" s="43">
        <v>16.25</v>
      </c>
      <c r="G18" s="43">
        <v>16.25</v>
      </c>
    </row>
    <row r="19" spans="1:7" ht="28.5" customHeight="1" x14ac:dyDescent="0.25">
      <c r="A19" s="8" t="s">
        <v>279</v>
      </c>
      <c r="B19" s="8" t="s">
        <v>508</v>
      </c>
      <c r="C19" s="9" t="s">
        <v>105</v>
      </c>
      <c r="D19" s="43"/>
      <c r="E19" s="43"/>
      <c r="F19" s="43">
        <v>16.25</v>
      </c>
      <c r="G19" s="43">
        <v>16.25</v>
      </c>
    </row>
    <row r="20" spans="1:7" ht="28.5" customHeight="1" x14ac:dyDescent="0.25">
      <c r="A20" s="8" t="s">
        <v>244</v>
      </c>
      <c r="B20" s="8" t="s">
        <v>511</v>
      </c>
      <c r="C20" s="9" t="s">
        <v>105</v>
      </c>
      <c r="D20" s="43">
        <v>12.6</v>
      </c>
      <c r="E20" s="43">
        <v>25.2</v>
      </c>
      <c r="F20" s="43">
        <v>12.6</v>
      </c>
      <c r="G20" s="43">
        <v>25.2</v>
      </c>
    </row>
    <row r="21" spans="1:7" ht="28.5" customHeight="1" x14ac:dyDescent="0.25">
      <c r="A21" s="8" t="s">
        <v>510</v>
      </c>
      <c r="B21" s="8" t="s">
        <v>509</v>
      </c>
      <c r="C21" s="9" t="s">
        <v>105</v>
      </c>
      <c r="D21" s="43">
        <v>8</v>
      </c>
      <c r="E21" s="43">
        <v>16</v>
      </c>
      <c r="F21" s="43">
        <v>8</v>
      </c>
      <c r="G21" s="43">
        <v>16</v>
      </c>
    </row>
    <row r="22" spans="1:7" ht="28.5" customHeight="1" x14ac:dyDescent="0.25">
      <c r="A22" s="19" t="s">
        <v>481</v>
      </c>
      <c r="B22" s="152" t="s">
        <v>485</v>
      </c>
      <c r="C22" s="9" t="s">
        <v>105</v>
      </c>
      <c r="D22" s="43">
        <v>0.55000000000000004</v>
      </c>
      <c r="E22" s="43">
        <v>0.75</v>
      </c>
      <c r="F22" s="43">
        <v>0.55000000000000004</v>
      </c>
      <c r="G22" s="43">
        <v>0.75</v>
      </c>
    </row>
    <row r="23" spans="1:7" ht="28.5" customHeight="1" x14ac:dyDescent="0.25">
      <c r="A23" s="19" t="s">
        <v>482</v>
      </c>
      <c r="B23" s="152" t="s">
        <v>486</v>
      </c>
      <c r="C23" s="9" t="s">
        <v>107</v>
      </c>
      <c r="D23" s="43">
        <v>0.25</v>
      </c>
      <c r="E23" s="43">
        <v>0.37</v>
      </c>
      <c r="F23" s="43">
        <v>0.37</v>
      </c>
      <c r="G23" s="43">
        <v>0.55000000000000004</v>
      </c>
    </row>
    <row r="24" spans="1:7" ht="28.5" customHeight="1" x14ac:dyDescent="0.25">
      <c r="A24" s="21" t="s">
        <v>311</v>
      </c>
      <c r="B24" s="21" t="s">
        <v>221</v>
      </c>
      <c r="C24" s="9" t="s">
        <v>105</v>
      </c>
      <c r="D24" s="43">
        <f>D12+D13+D14+D16+D17+D18+D19+D20+D21+D22+D23</f>
        <v>62.1</v>
      </c>
      <c r="E24" s="43">
        <f t="shared" ref="E24:G24" si="0">E12+E13+E14+E16+E17+E18+E19+E20+E21+E22+E23</f>
        <v>85.820000000000007</v>
      </c>
      <c r="F24" s="43">
        <f t="shared" si="0"/>
        <v>80.67</v>
      </c>
      <c r="G24" s="43">
        <f t="shared" si="0"/>
        <v>102.64999999999999</v>
      </c>
    </row>
    <row r="25" spans="1:7" ht="28.5" customHeight="1" x14ac:dyDescent="0.25">
      <c r="A25" s="19" t="s">
        <v>108</v>
      </c>
      <c r="B25" s="19" t="s">
        <v>109</v>
      </c>
      <c r="C25" s="9" t="s">
        <v>110</v>
      </c>
      <c r="D25" s="43" t="s">
        <v>310</v>
      </c>
      <c r="E25" s="43" t="s">
        <v>310</v>
      </c>
      <c r="F25" s="43" t="s">
        <v>310</v>
      </c>
      <c r="G25" s="43" t="s">
        <v>310</v>
      </c>
    </row>
    <row r="26" spans="1:7" ht="28.5" customHeight="1" x14ac:dyDescent="0.25">
      <c r="A26" s="91" t="s">
        <v>450</v>
      </c>
      <c r="B26" s="91" t="s">
        <v>451</v>
      </c>
      <c r="C26" s="92"/>
      <c r="D26" s="93" t="s">
        <v>452</v>
      </c>
      <c r="E26" s="93" t="s">
        <v>452</v>
      </c>
      <c r="F26" s="93" t="s">
        <v>452</v>
      </c>
      <c r="G26" s="93" t="s">
        <v>452</v>
      </c>
    </row>
    <row r="27" spans="1:7" ht="28.5" customHeight="1" x14ac:dyDescent="0.25">
      <c r="A27" s="91" t="s">
        <v>453</v>
      </c>
      <c r="B27" s="91" t="s">
        <v>454</v>
      </c>
      <c r="C27" s="92"/>
      <c r="D27" s="93" t="s">
        <v>455</v>
      </c>
      <c r="E27" s="93" t="s">
        <v>455</v>
      </c>
      <c r="F27" s="93" t="s">
        <v>455</v>
      </c>
      <c r="G27" s="93" t="s">
        <v>455</v>
      </c>
    </row>
    <row r="28" spans="1:7" ht="24.6" customHeight="1" x14ac:dyDescent="0.25">
      <c r="A28" s="123" t="s">
        <v>425</v>
      </c>
      <c r="B28" s="124"/>
      <c r="C28" s="124"/>
      <c r="D28" s="124"/>
      <c r="E28" s="124"/>
      <c r="F28" s="124"/>
      <c r="G28" s="125"/>
    </row>
    <row r="29" spans="1:7" ht="18.600000000000001" customHeight="1" x14ac:dyDescent="0.25">
      <c r="A29" s="72"/>
      <c r="B29" s="72"/>
      <c r="C29" s="72"/>
      <c r="D29" s="72"/>
      <c r="E29" s="72"/>
      <c r="F29" s="72"/>
      <c r="G29" s="72"/>
    </row>
    <row r="30" spans="1:7" ht="21" x14ac:dyDescent="0.25">
      <c r="A30" s="100" t="s">
        <v>459</v>
      </c>
      <c r="C30" s="37"/>
    </row>
  </sheetData>
  <mergeCells count="4">
    <mergeCell ref="A28:G28"/>
    <mergeCell ref="D1:E1"/>
    <mergeCell ref="F1:G1"/>
    <mergeCell ref="A1:C2"/>
  </mergeCells>
  <phoneticPr fontId="5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1ADBE-5DB9-442F-AC68-C199ADA99422}">
  <sheetPr>
    <tabColor rgb="FFDFF4FD"/>
  </sheetPr>
  <dimension ref="A1:GE17"/>
  <sheetViews>
    <sheetView zoomScale="60" zoomScaleNormal="60" workbookViewId="0">
      <selection activeCell="R20" sqref="R20"/>
    </sheetView>
  </sheetViews>
  <sheetFormatPr defaultColWidth="9.140625" defaultRowHeight="15" x14ac:dyDescent="0.25"/>
  <cols>
    <col min="1" max="1" width="32.85546875" style="7" customWidth="1"/>
    <col min="2" max="2" width="31.140625" style="7" customWidth="1"/>
    <col min="3" max="3" width="10.28515625" style="10" customWidth="1"/>
    <col min="4" max="12" width="18.28515625" style="7" customWidth="1"/>
    <col min="13" max="16384" width="9.140625" style="7"/>
  </cols>
  <sheetData>
    <row r="1" spans="1:187" ht="36" customHeight="1" x14ac:dyDescent="0.25">
      <c r="A1" s="132" t="s">
        <v>383</v>
      </c>
      <c r="B1" s="132"/>
      <c r="C1" s="132"/>
      <c r="D1" s="134" t="s">
        <v>316</v>
      </c>
      <c r="E1" s="134"/>
      <c r="F1" s="134"/>
      <c r="G1" s="134"/>
      <c r="H1" s="134"/>
      <c r="I1" s="134"/>
      <c r="J1" s="134"/>
      <c r="K1" s="134"/>
      <c r="L1" s="134"/>
    </row>
    <row r="2" spans="1:187" s="5" customFormat="1" ht="37.9" customHeight="1" x14ac:dyDescent="0.25">
      <c r="A2" s="135"/>
      <c r="B2" s="135"/>
      <c r="C2" s="135"/>
      <c r="D2" s="136" t="s">
        <v>59</v>
      </c>
      <c r="E2" s="136" t="s">
        <v>60</v>
      </c>
      <c r="F2" s="136" t="s">
        <v>61</v>
      </c>
      <c r="G2" s="136" t="s">
        <v>62</v>
      </c>
      <c r="H2" s="136" t="s">
        <v>54</v>
      </c>
      <c r="I2" s="136" t="s">
        <v>55</v>
      </c>
      <c r="J2" s="136" t="s">
        <v>56</v>
      </c>
      <c r="K2" s="136" t="s">
        <v>57</v>
      </c>
      <c r="L2" s="136" t="s">
        <v>58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</row>
    <row r="3" spans="1:187" s="5" customFormat="1" ht="33" customHeight="1" x14ac:dyDescent="0.25">
      <c r="A3" s="45" t="s">
        <v>82</v>
      </c>
      <c r="B3" s="48" t="s">
        <v>83</v>
      </c>
      <c r="C3" s="99"/>
      <c r="D3" s="137"/>
      <c r="E3" s="137"/>
      <c r="F3" s="137"/>
      <c r="G3" s="137"/>
      <c r="H3" s="137"/>
      <c r="I3" s="137"/>
      <c r="J3" s="137"/>
      <c r="K3" s="137"/>
      <c r="L3" s="137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</row>
    <row r="4" spans="1:187" s="11" customFormat="1" ht="28.5" customHeight="1" x14ac:dyDescent="0.25">
      <c r="A4" s="47" t="s">
        <v>380</v>
      </c>
      <c r="B4" s="47" t="s">
        <v>381</v>
      </c>
      <c r="C4" s="9" t="s">
        <v>101</v>
      </c>
      <c r="D4" s="84" t="s">
        <v>446</v>
      </c>
      <c r="E4" s="84" t="s">
        <v>447</v>
      </c>
      <c r="F4" s="84" t="s">
        <v>448</v>
      </c>
      <c r="G4" s="84" t="s">
        <v>449</v>
      </c>
      <c r="H4" s="84" t="s">
        <v>441</v>
      </c>
      <c r="I4" s="84" t="s">
        <v>442</v>
      </c>
      <c r="J4" s="84" t="s">
        <v>443</v>
      </c>
      <c r="K4" s="84" t="s">
        <v>444</v>
      </c>
      <c r="L4" s="84" t="s">
        <v>445</v>
      </c>
    </row>
    <row r="5" spans="1:187" ht="28.5" customHeight="1" x14ac:dyDescent="0.25">
      <c r="A5" s="64" t="s">
        <v>369</v>
      </c>
      <c r="B5" s="64" t="s">
        <v>359</v>
      </c>
      <c r="C5" s="65" t="s">
        <v>103</v>
      </c>
      <c r="D5" s="39">
        <v>50</v>
      </c>
      <c r="E5" s="39">
        <v>75</v>
      </c>
      <c r="F5" s="39">
        <v>100</v>
      </c>
      <c r="G5" s="39">
        <v>150</v>
      </c>
      <c r="H5" s="39">
        <v>200</v>
      </c>
      <c r="I5" s="39">
        <v>300</v>
      </c>
      <c r="J5" s="39">
        <v>400</v>
      </c>
      <c r="K5" s="39">
        <v>600</v>
      </c>
      <c r="L5" s="39">
        <v>800</v>
      </c>
    </row>
    <row r="6" spans="1:187" ht="28.5" customHeight="1" x14ac:dyDescent="0.25">
      <c r="A6" s="47" t="s">
        <v>84</v>
      </c>
      <c r="B6" s="47" t="s">
        <v>92</v>
      </c>
      <c r="C6" s="65" t="s">
        <v>101</v>
      </c>
      <c r="D6" s="39" t="s">
        <v>317</v>
      </c>
      <c r="E6" s="39" t="s">
        <v>318</v>
      </c>
      <c r="F6" s="39" t="s">
        <v>319</v>
      </c>
      <c r="G6" s="39" t="s">
        <v>320</v>
      </c>
      <c r="H6" s="39" t="s">
        <v>321</v>
      </c>
      <c r="I6" s="39" t="s">
        <v>332</v>
      </c>
      <c r="J6" s="39" t="s">
        <v>333</v>
      </c>
      <c r="K6" s="39" t="s">
        <v>334</v>
      </c>
      <c r="L6" s="39" t="s">
        <v>335</v>
      </c>
    </row>
    <row r="7" spans="1:187" ht="28.5" customHeight="1" x14ac:dyDescent="0.25">
      <c r="A7" s="64" t="s">
        <v>370</v>
      </c>
      <c r="B7" s="64" t="s">
        <v>360</v>
      </c>
      <c r="C7" s="65" t="s">
        <v>101</v>
      </c>
      <c r="D7" s="39" t="s">
        <v>318</v>
      </c>
      <c r="E7" s="39" t="s">
        <v>322</v>
      </c>
      <c r="F7" s="39" t="s">
        <v>323</v>
      </c>
      <c r="G7" s="39" t="s">
        <v>324</v>
      </c>
      <c r="H7" s="39" t="s">
        <v>325</v>
      </c>
      <c r="I7" s="39" t="s">
        <v>336</v>
      </c>
      <c r="J7" s="39" t="s">
        <v>337</v>
      </c>
      <c r="K7" s="39" t="s">
        <v>338</v>
      </c>
      <c r="L7" s="39" t="s">
        <v>339</v>
      </c>
    </row>
    <row r="8" spans="1:187" ht="28.5" customHeight="1" x14ac:dyDescent="0.25">
      <c r="A8" s="64" t="s">
        <v>374</v>
      </c>
      <c r="B8" s="64" t="s">
        <v>364</v>
      </c>
      <c r="C8" s="30" t="s">
        <v>107</v>
      </c>
      <c r="D8" s="39">
        <v>10</v>
      </c>
      <c r="E8" s="39">
        <v>15</v>
      </c>
      <c r="F8" s="39">
        <v>20</v>
      </c>
      <c r="G8" s="39">
        <v>30</v>
      </c>
      <c r="H8" s="39">
        <v>40</v>
      </c>
      <c r="I8" s="39">
        <v>60</v>
      </c>
      <c r="J8" s="39">
        <v>80</v>
      </c>
      <c r="K8" s="39">
        <v>120</v>
      </c>
      <c r="L8" s="39">
        <v>160</v>
      </c>
    </row>
    <row r="9" spans="1:187" ht="28.5" customHeight="1" x14ac:dyDescent="0.25">
      <c r="A9" s="64" t="s">
        <v>379</v>
      </c>
      <c r="B9" s="64" t="s">
        <v>378</v>
      </c>
      <c r="C9" s="65" t="s">
        <v>101</v>
      </c>
      <c r="D9" s="39" t="s">
        <v>326</v>
      </c>
      <c r="E9" s="39" t="s">
        <v>327</v>
      </c>
      <c r="F9" s="39" t="s">
        <v>328</v>
      </c>
      <c r="G9" s="39" t="s">
        <v>329</v>
      </c>
      <c r="H9" s="39" t="s">
        <v>330</v>
      </c>
      <c r="I9" s="39" t="s">
        <v>340</v>
      </c>
      <c r="J9" s="39" t="s">
        <v>341</v>
      </c>
      <c r="K9" s="39" t="s">
        <v>342</v>
      </c>
      <c r="L9" s="39" t="s">
        <v>343</v>
      </c>
    </row>
    <row r="10" spans="1:187" ht="28.5" customHeight="1" x14ac:dyDescent="0.25">
      <c r="A10" s="64" t="s">
        <v>367</v>
      </c>
      <c r="B10" s="64" t="s">
        <v>220</v>
      </c>
      <c r="C10" s="65" t="s">
        <v>102</v>
      </c>
      <c r="D10" s="39">
        <v>30</v>
      </c>
      <c r="E10" s="39">
        <v>75</v>
      </c>
      <c r="F10" s="39">
        <v>100</v>
      </c>
      <c r="G10" s="39">
        <v>125</v>
      </c>
      <c r="H10" s="39">
        <v>150</v>
      </c>
      <c r="I10" s="39">
        <v>250</v>
      </c>
      <c r="J10" s="39">
        <v>250</v>
      </c>
      <c r="K10" s="39">
        <v>300</v>
      </c>
      <c r="L10" s="39">
        <v>400</v>
      </c>
    </row>
    <row r="11" spans="1:187" ht="28.5" customHeight="1" x14ac:dyDescent="0.25">
      <c r="A11" s="64" t="s">
        <v>372</v>
      </c>
      <c r="B11" s="64" t="s">
        <v>100</v>
      </c>
      <c r="C11" s="65" t="s">
        <v>227</v>
      </c>
      <c r="D11" s="39">
        <v>80</v>
      </c>
      <c r="E11" s="39">
        <v>80</v>
      </c>
      <c r="F11" s="39">
        <v>80</v>
      </c>
      <c r="G11" s="39">
        <v>80</v>
      </c>
      <c r="H11" s="39">
        <v>80</v>
      </c>
      <c r="I11" s="39">
        <v>80</v>
      </c>
      <c r="J11" s="39">
        <v>80</v>
      </c>
      <c r="K11" s="39">
        <v>80</v>
      </c>
      <c r="L11" s="39">
        <v>80</v>
      </c>
    </row>
    <row r="12" spans="1:187" ht="28.5" customHeight="1" x14ac:dyDescent="0.25">
      <c r="A12" s="64" t="s">
        <v>375</v>
      </c>
      <c r="B12" s="64" t="s">
        <v>365</v>
      </c>
      <c r="C12" s="65" t="s">
        <v>331</v>
      </c>
      <c r="D12" s="39">
        <v>600</v>
      </c>
      <c r="E12" s="39">
        <v>900</v>
      </c>
      <c r="F12" s="39">
        <v>1200</v>
      </c>
      <c r="G12" s="39">
        <v>1800</v>
      </c>
      <c r="H12" s="39">
        <v>2400</v>
      </c>
      <c r="I12" s="39">
        <v>3600</v>
      </c>
      <c r="J12" s="39">
        <v>4800</v>
      </c>
      <c r="K12" s="39">
        <v>7200</v>
      </c>
      <c r="L12" s="39">
        <v>9600</v>
      </c>
    </row>
    <row r="13" spans="1:187" ht="28.5" customHeight="1" x14ac:dyDescent="0.25">
      <c r="A13" s="64" t="s">
        <v>376</v>
      </c>
      <c r="B13" s="64" t="s">
        <v>366</v>
      </c>
      <c r="C13" s="65" t="s">
        <v>105</v>
      </c>
      <c r="D13" s="39">
        <v>1.5</v>
      </c>
      <c r="E13" s="39">
        <v>3</v>
      </c>
      <c r="F13" s="39">
        <v>4.5</v>
      </c>
      <c r="G13" s="39">
        <v>6</v>
      </c>
      <c r="H13" s="39">
        <v>6</v>
      </c>
      <c r="I13" s="39">
        <v>7.5</v>
      </c>
      <c r="J13" s="39">
        <v>10</v>
      </c>
      <c r="K13" s="39">
        <v>15</v>
      </c>
      <c r="L13" s="39">
        <v>20</v>
      </c>
    </row>
    <row r="14" spans="1:187" ht="28.5" customHeight="1" x14ac:dyDescent="0.25">
      <c r="A14" s="64" t="s">
        <v>216</v>
      </c>
      <c r="B14" s="64" t="s">
        <v>221</v>
      </c>
      <c r="C14" s="65" t="s">
        <v>105</v>
      </c>
      <c r="D14" s="39">
        <v>2.1</v>
      </c>
      <c r="E14" s="39">
        <v>3.9</v>
      </c>
      <c r="F14" s="39">
        <v>5.7</v>
      </c>
      <c r="G14" s="39">
        <v>7.8</v>
      </c>
      <c r="H14" s="39">
        <v>8.4</v>
      </c>
      <c r="I14" s="39">
        <v>11.1</v>
      </c>
      <c r="J14" s="39">
        <v>14.8</v>
      </c>
      <c r="K14" s="39">
        <v>22.2</v>
      </c>
      <c r="L14" s="39">
        <v>29.6</v>
      </c>
    </row>
    <row r="15" spans="1:187" ht="28.5" customHeight="1" x14ac:dyDescent="0.25">
      <c r="A15" s="64" t="s">
        <v>377</v>
      </c>
      <c r="B15" s="64" t="s">
        <v>226</v>
      </c>
      <c r="C15" s="65" t="s">
        <v>110</v>
      </c>
      <c r="D15" s="39" t="s">
        <v>112</v>
      </c>
      <c r="E15" s="39" t="s">
        <v>112</v>
      </c>
      <c r="F15" s="39" t="s">
        <v>112</v>
      </c>
      <c r="G15" s="39" t="s">
        <v>112</v>
      </c>
      <c r="H15" s="39" t="s">
        <v>112</v>
      </c>
      <c r="I15" s="39" t="s">
        <v>112</v>
      </c>
      <c r="J15" s="39" t="s">
        <v>112</v>
      </c>
      <c r="K15" s="39" t="s">
        <v>112</v>
      </c>
      <c r="L15" s="39" t="s">
        <v>112</v>
      </c>
    </row>
    <row r="16" spans="1:187" ht="22.15" customHeight="1" x14ac:dyDescent="0.25">
      <c r="A16" s="91" t="s">
        <v>450</v>
      </c>
      <c r="B16" s="91" t="s">
        <v>451</v>
      </c>
      <c r="C16" s="92"/>
      <c r="D16" s="93" t="s">
        <v>452</v>
      </c>
      <c r="E16" s="93" t="s">
        <v>452</v>
      </c>
      <c r="F16" s="93" t="s">
        <v>452</v>
      </c>
      <c r="G16" s="93" t="s">
        <v>452</v>
      </c>
      <c r="H16" s="93" t="s">
        <v>452</v>
      </c>
      <c r="I16" s="93" t="s">
        <v>452</v>
      </c>
      <c r="J16" s="93" t="s">
        <v>452</v>
      </c>
      <c r="K16" s="93" t="s">
        <v>452</v>
      </c>
      <c r="L16" s="93" t="s">
        <v>452</v>
      </c>
    </row>
    <row r="17" spans="1:12" ht="22.15" customHeight="1" x14ac:dyDescent="0.25">
      <c r="A17" s="91" t="s">
        <v>453</v>
      </c>
      <c r="B17" s="91" t="s">
        <v>454</v>
      </c>
      <c r="C17" s="92"/>
      <c r="D17" s="93" t="s">
        <v>455</v>
      </c>
      <c r="E17" s="93" t="s">
        <v>455</v>
      </c>
      <c r="F17" s="93" t="s">
        <v>455</v>
      </c>
      <c r="G17" s="93" t="s">
        <v>455</v>
      </c>
      <c r="H17" s="93" t="s">
        <v>455</v>
      </c>
      <c r="I17" s="93" t="s">
        <v>455</v>
      </c>
      <c r="J17" s="93" t="s">
        <v>455</v>
      </c>
      <c r="K17" s="93" t="s">
        <v>455</v>
      </c>
      <c r="L17" s="93" t="s">
        <v>455</v>
      </c>
    </row>
  </sheetData>
  <mergeCells count="11">
    <mergeCell ref="D1:L1"/>
    <mergeCell ref="A1:C2"/>
    <mergeCell ref="D2:D3"/>
    <mergeCell ref="E2:E3"/>
    <mergeCell ref="F2:F3"/>
    <mergeCell ref="G2:G3"/>
    <mergeCell ref="H2:H3"/>
    <mergeCell ref="I2:I3"/>
    <mergeCell ref="J2:J3"/>
    <mergeCell ref="K2:K3"/>
    <mergeCell ref="L2:L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50BA4-5942-4DF2-B039-02D44FDDB7A9}">
  <sheetPr>
    <tabColor rgb="FFFF0000"/>
  </sheetPr>
  <dimension ref="A1:FX20"/>
  <sheetViews>
    <sheetView zoomScale="50" zoomScaleNormal="50" workbookViewId="0">
      <selection activeCell="S27" sqref="S27"/>
    </sheetView>
  </sheetViews>
  <sheetFormatPr defaultColWidth="9.140625" defaultRowHeight="15" x14ac:dyDescent="0.25"/>
  <cols>
    <col min="1" max="1" width="34.85546875" style="7" customWidth="1"/>
    <col min="2" max="2" width="29.5703125" style="7" customWidth="1"/>
    <col min="3" max="3" width="9.7109375" style="10" customWidth="1"/>
    <col min="4" max="8" width="19.7109375" style="7" customWidth="1"/>
    <col min="9" max="9" width="53.7109375" style="7" customWidth="1"/>
    <col min="10" max="16384" width="9.140625" style="7"/>
  </cols>
  <sheetData>
    <row r="1" spans="1:180" ht="36" customHeight="1" x14ac:dyDescent="0.25">
      <c r="A1" s="139" t="s">
        <v>382</v>
      </c>
      <c r="B1" s="139"/>
      <c r="C1" s="139"/>
      <c r="D1" s="138" t="s">
        <v>415</v>
      </c>
      <c r="E1" s="138"/>
      <c r="F1" s="138"/>
      <c r="G1" s="138"/>
      <c r="H1" s="138"/>
    </row>
    <row r="2" spans="1:180" s="14" customFormat="1" ht="27" customHeight="1" x14ac:dyDescent="0.25">
      <c r="A2" s="139"/>
      <c r="B2" s="139"/>
      <c r="C2" s="139"/>
      <c r="D2" s="12" t="s">
        <v>116</v>
      </c>
      <c r="E2" s="12" t="s">
        <v>115</v>
      </c>
      <c r="F2" s="12" t="s">
        <v>117</v>
      </c>
      <c r="G2" s="12" t="s">
        <v>118</v>
      </c>
      <c r="H2" s="12" t="s">
        <v>119</v>
      </c>
      <c r="I2" s="7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</row>
    <row r="3" spans="1:180" s="5" customFormat="1" ht="35.450000000000003" customHeight="1" x14ac:dyDescent="0.25">
      <c r="A3" s="46" t="s">
        <v>82</v>
      </c>
      <c r="B3" s="46" t="s">
        <v>83</v>
      </c>
      <c r="C3" s="99"/>
      <c r="D3" s="3" t="s">
        <v>434</v>
      </c>
      <c r="E3" s="3" t="s">
        <v>433</v>
      </c>
      <c r="F3" s="3" t="s">
        <v>430</v>
      </c>
      <c r="G3" s="3" t="s">
        <v>431</v>
      </c>
      <c r="H3" s="3" t="s">
        <v>432</v>
      </c>
      <c r="I3" s="7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</row>
    <row r="4" spans="1:180" s="11" customFormat="1" ht="29.45" customHeight="1" x14ac:dyDescent="0.25">
      <c r="A4" s="32" t="s">
        <v>113</v>
      </c>
      <c r="B4" s="32" t="s">
        <v>114</v>
      </c>
      <c r="C4" s="9" t="s">
        <v>101</v>
      </c>
      <c r="D4" s="84" t="s">
        <v>441</v>
      </c>
      <c r="E4" s="84" t="s">
        <v>442</v>
      </c>
      <c r="F4" s="84" t="s">
        <v>443</v>
      </c>
      <c r="G4" s="84" t="s">
        <v>444</v>
      </c>
      <c r="H4" s="84" t="s">
        <v>445</v>
      </c>
      <c r="I4" s="7"/>
    </row>
    <row r="5" spans="1:180" ht="29.45" customHeight="1" x14ac:dyDescent="0.25">
      <c r="A5" s="49" t="s">
        <v>369</v>
      </c>
      <c r="B5" s="49" t="s">
        <v>359</v>
      </c>
      <c r="C5" s="39" t="s">
        <v>103</v>
      </c>
      <c r="D5" s="39">
        <v>200</v>
      </c>
      <c r="E5" s="39">
        <v>300</v>
      </c>
      <c r="F5" s="39">
        <v>400</v>
      </c>
      <c r="G5" s="39">
        <v>600</v>
      </c>
      <c r="H5" s="39">
        <v>800</v>
      </c>
    </row>
    <row r="6" spans="1:180" ht="29.45" customHeight="1" x14ac:dyDescent="0.25">
      <c r="A6" s="49" t="s">
        <v>370</v>
      </c>
      <c r="B6" s="49" t="s">
        <v>360</v>
      </c>
      <c r="C6" s="39" t="s">
        <v>101</v>
      </c>
      <c r="D6" s="39" t="s">
        <v>344</v>
      </c>
      <c r="E6" s="39" t="s">
        <v>345</v>
      </c>
      <c r="F6" s="39" t="s">
        <v>346</v>
      </c>
      <c r="G6" s="39" t="s">
        <v>347</v>
      </c>
      <c r="H6" s="39" t="s">
        <v>348</v>
      </c>
    </row>
    <row r="7" spans="1:180" ht="29.45" customHeight="1" x14ac:dyDescent="0.25">
      <c r="A7" s="49" t="s">
        <v>371</v>
      </c>
      <c r="B7" s="49" t="s">
        <v>361</v>
      </c>
      <c r="C7" s="39" t="s">
        <v>101</v>
      </c>
      <c r="D7" s="39" t="s">
        <v>349</v>
      </c>
      <c r="E7" s="39" t="s">
        <v>350</v>
      </c>
      <c r="F7" s="39" t="s">
        <v>351</v>
      </c>
      <c r="G7" s="39" t="s">
        <v>352</v>
      </c>
      <c r="H7" s="39" t="s">
        <v>353</v>
      </c>
    </row>
    <row r="8" spans="1:180" ht="29.45" customHeight="1" x14ac:dyDescent="0.25">
      <c r="A8" s="49" t="s">
        <v>368</v>
      </c>
      <c r="B8" s="49" t="s">
        <v>362</v>
      </c>
      <c r="C8" s="39" t="s">
        <v>101</v>
      </c>
      <c r="D8" s="39">
        <v>350</v>
      </c>
      <c r="E8" s="39">
        <v>400</v>
      </c>
      <c r="F8" s="39">
        <v>450</v>
      </c>
      <c r="G8" s="39">
        <v>500</v>
      </c>
      <c r="H8" s="39">
        <v>550</v>
      </c>
    </row>
    <row r="9" spans="1:180" ht="29.45" customHeight="1" x14ac:dyDescent="0.25">
      <c r="A9" s="49" t="s">
        <v>367</v>
      </c>
      <c r="B9" s="49" t="s">
        <v>220</v>
      </c>
      <c r="C9" s="39" t="s">
        <v>102</v>
      </c>
      <c r="D9" s="39">
        <v>150</v>
      </c>
      <c r="E9" s="39">
        <v>200</v>
      </c>
      <c r="F9" s="39">
        <v>250</v>
      </c>
      <c r="G9" s="39">
        <v>300</v>
      </c>
      <c r="H9" s="39">
        <v>400</v>
      </c>
    </row>
    <row r="10" spans="1:180" ht="29.45" customHeight="1" x14ac:dyDescent="0.25">
      <c r="A10" s="49" t="s">
        <v>372</v>
      </c>
      <c r="B10" s="49" t="s">
        <v>100</v>
      </c>
      <c r="C10" s="39" t="s">
        <v>227</v>
      </c>
      <c r="D10" s="39">
        <v>80</v>
      </c>
      <c r="E10" s="39">
        <v>80</v>
      </c>
      <c r="F10" s="39">
        <v>80</v>
      </c>
      <c r="G10" s="39">
        <v>80</v>
      </c>
      <c r="H10" s="39">
        <v>80</v>
      </c>
    </row>
    <row r="11" spans="1:180" ht="29.45" customHeight="1" x14ac:dyDescent="0.25">
      <c r="A11" s="49" t="s">
        <v>373</v>
      </c>
      <c r="B11" s="49" t="s">
        <v>363</v>
      </c>
      <c r="C11" s="9" t="s">
        <v>107</v>
      </c>
      <c r="D11" s="39" t="s">
        <v>354</v>
      </c>
      <c r="E11" s="39" t="s">
        <v>355</v>
      </c>
      <c r="F11" s="39" t="s">
        <v>356</v>
      </c>
      <c r="G11" s="39" t="s">
        <v>357</v>
      </c>
      <c r="H11" s="39" t="s">
        <v>358</v>
      </c>
    </row>
    <row r="12" spans="1:180" ht="29.45" customHeight="1" x14ac:dyDescent="0.25">
      <c r="A12" s="49" t="s">
        <v>374</v>
      </c>
      <c r="B12" s="49" t="s">
        <v>364</v>
      </c>
      <c r="C12" s="9" t="s">
        <v>107</v>
      </c>
      <c r="D12" s="39">
        <v>40</v>
      </c>
      <c r="E12" s="39">
        <v>60</v>
      </c>
      <c r="F12" s="39">
        <v>80</v>
      </c>
      <c r="G12" s="39">
        <v>120</v>
      </c>
      <c r="H12" s="39">
        <v>160</v>
      </c>
    </row>
    <row r="13" spans="1:180" ht="29.45" customHeight="1" x14ac:dyDescent="0.25">
      <c r="A13" s="49" t="s">
        <v>375</v>
      </c>
      <c r="B13" s="49" t="s">
        <v>365</v>
      </c>
      <c r="C13" s="39" t="s">
        <v>331</v>
      </c>
      <c r="D13" s="39">
        <v>2400</v>
      </c>
      <c r="E13" s="39">
        <v>3600</v>
      </c>
      <c r="F13" s="39">
        <v>4800</v>
      </c>
      <c r="G13" s="39">
        <v>7200</v>
      </c>
      <c r="H13" s="39">
        <v>9600</v>
      </c>
    </row>
    <row r="14" spans="1:180" ht="29.45" customHeight="1" x14ac:dyDescent="0.25">
      <c r="A14" s="49" t="s">
        <v>376</v>
      </c>
      <c r="B14" s="49" t="s">
        <v>366</v>
      </c>
      <c r="C14" s="39" t="s">
        <v>105</v>
      </c>
      <c r="D14" s="39">
        <v>6</v>
      </c>
      <c r="E14" s="39">
        <v>7.5</v>
      </c>
      <c r="F14" s="39">
        <v>10</v>
      </c>
      <c r="G14" s="39">
        <v>15</v>
      </c>
      <c r="H14" s="39">
        <v>20</v>
      </c>
    </row>
    <row r="15" spans="1:180" ht="29.45" customHeight="1" x14ac:dyDescent="0.25">
      <c r="A15" s="49" t="s">
        <v>216</v>
      </c>
      <c r="B15" s="49" t="s">
        <v>221</v>
      </c>
      <c r="C15" s="39" t="s">
        <v>105</v>
      </c>
      <c r="D15" s="39">
        <v>8.4</v>
      </c>
      <c r="E15" s="39">
        <v>11.1</v>
      </c>
      <c r="F15" s="39">
        <v>14.8</v>
      </c>
      <c r="G15" s="39">
        <v>22.2</v>
      </c>
      <c r="H15" s="39">
        <v>29.6</v>
      </c>
    </row>
    <row r="16" spans="1:180" ht="29.45" customHeight="1" x14ac:dyDescent="0.25">
      <c r="A16" s="49" t="s">
        <v>377</v>
      </c>
      <c r="B16" s="49" t="s">
        <v>226</v>
      </c>
      <c r="C16" s="39" t="s">
        <v>110</v>
      </c>
      <c r="D16" s="39" t="s">
        <v>112</v>
      </c>
      <c r="E16" s="39" t="s">
        <v>112</v>
      </c>
      <c r="F16" s="39" t="s">
        <v>112</v>
      </c>
      <c r="G16" s="39" t="s">
        <v>112</v>
      </c>
      <c r="H16" s="39" t="s">
        <v>112</v>
      </c>
    </row>
    <row r="17" spans="1:8" ht="28.9" customHeight="1" x14ac:dyDescent="0.25">
      <c r="A17" s="87" t="s">
        <v>450</v>
      </c>
      <c r="B17" s="87" t="s">
        <v>451</v>
      </c>
      <c r="C17" s="6"/>
      <c r="D17" s="6" t="s">
        <v>456</v>
      </c>
      <c r="E17" s="6" t="s">
        <v>456</v>
      </c>
      <c r="F17" s="6" t="s">
        <v>456</v>
      </c>
      <c r="G17" s="6" t="s">
        <v>456</v>
      </c>
      <c r="H17" s="6" t="s">
        <v>456</v>
      </c>
    </row>
    <row r="18" spans="1:8" ht="27" customHeight="1" x14ac:dyDescent="0.25">
      <c r="A18" s="87" t="s">
        <v>453</v>
      </c>
      <c r="B18" s="87" t="s">
        <v>454</v>
      </c>
      <c r="C18" s="6"/>
      <c r="D18" s="6" t="s">
        <v>457</v>
      </c>
      <c r="E18" s="6" t="s">
        <v>457</v>
      </c>
      <c r="F18" s="6" t="s">
        <v>457</v>
      </c>
      <c r="G18" s="6" t="s">
        <v>457</v>
      </c>
      <c r="H18" s="6" t="s">
        <v>457</v>
      </c>
    </row>
    <row r="19" spans="1:8" ht="26.45" customHeight="1" x14ac:dyDescent="0.25">
      <c r="A19" s="89" t="s">
        <v>450</v>
      </c>
      <c r="B19" s="89" t="s">
        <v>451</v>
      </c>
      <c r="C19" s="90"/>
      <c r="D19" s="90" t="s">
        <v>456</v>
      </c>
      <c r="E19" s="90" t="s">
        <v>456</v>
      </c>
      <c r="F19" s="90" t="s">
        <v>456</v>
      </c>
      <c r="G19" s="90" t="s">
        <v>456</v>
      </c>
      <c r="H19" s="90" t="s">
        <v>456</v>
      </c>
    </row>
    <row r="20" spans="1:8" ht="26.45" customHeight="1" x14ac:dyDescent="0.25">
      <c r="A20" s="89" t="s">
        <v>453</v>
      </c>
      <c r="B20" s="89" t="s">
        <v>454</v>
      </c>
      <c r="C20" s="90"/>
      <c r="D20" s="90" t="s">
        <v>457</v>
      </c>
      <c r="E20" s="90" t="s">
        <v>457</v>
      </c>
      <c r="F20" s="90" t="s">
        <v>457</v>
      </c>
      <c r="G20" s="90" t="s">
        <v>457</v>
      </c>
      <c r="H20" s="90" t="s">
        <v>457</v>
      </c>
    </row>
  </sheetData>
  <mergeCells count="2">
    <mergeCell ref="D1:H1"/>
    <mergeCell ref="A1:C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6F655-457A-4717-984D-FD25CAE8BF80}">
  <sheetPr>
    <tabColor rgb="FFDFF4FD"/>
  </sheetPr>
  <dimension ref="A1:FO18"/>
  <sheetViews>
    <sheetView zoomScale="70" zoomScaleNormal="70" workbookViewId="0">
      <selection activeCell="A18" sqref="A18"/>
    </sheetView>
  </sheetViews>
  <sheetFormatPr defaultColWidth="9.140625" defaultRowHeight="15" x14ac:dyDescent="0.25"/>
  <cols>
    <col min="1" max="1" width="26" style="7" customWidth="1"/>
    <col min="2" max="2" width="27.28515625" style="7" customWidth="1"/>
    <col min="3" max="3" width="9.140625" style="10" customWidth="1"/>
    <col min="4" max="4" width="23.7109375" style="7" customWidth="1"/>
    <col min="5" max="5" width="24.5703125" style="7" customWidth="1"/>
    <col min="6" max="16384" width="9.140625" style="7"/>
  </cols>
  <sheetData>
    <row r="1" spans="1:171" s="5" customFormat="1" ht="34.15" customHeight="1" x14ac:dyDescent="0.25">
      <c r="A1" s="140" t="s">
        <v>401</v>
      </c>
      <c r="B1" s="139"/>
      <c r="C1" s="139"/>
      <c r="D1" s="141" t="s">
        <v>413</v>
      </c>
      <c r="E1" s="141" t="s">
        <v>414</v>
      </c>
      <c r="F1" s="10"/>
      <c r="G1" s="10"/>
      <c r="H1" s="7"/>
      <c r="I1" s="7"/>
      <c r="J1" s="7"/>
      <c r="K1" s="7"/>
      <c r="L1" s="7"/>
      <c r="M1" s="7"/>
      <c r="N1" s="7"/>
      <c r="O1" s="7"/>
      <c r="P1" s="7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</row>
    <row r="2" spans="1:171" s="5" customFormat="1" ht="16.899999999999999" customHeight="1" x14ac:dyDescent="0.25">
      <c r="A2" s="139"/>
      <c r="B2" s="139"/>
      <c r="C2" s="139"/>
      <c r="D2" s="142"/>
      <c r="E2" s="142"/>
      <c r="F2" s="10"/>
      <c r="G2" s="10"/>
      <c r="H2" s="7"/>
      <c r="I2" s="7"/>
      <c r="J2" s="7"/>
      <c r="K2" s="7"/>
      <c r="L2" s="7"/>
      <c r="M2" s="7"/>
      <c r="N2" s="7"/>
      <c r="O2" s="7"/>
      <c r="P2" s="7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</row>
    <row r="3" spans="1:171" s="11" customFormat="1" ht="30" customHeight="1" x14ac:dyDescent="0.15">
      <c r="A3" s="46" t="s">
        <v>82</v>
      </c>
      <c r="B3" s="46" t="s">
        <v>83</v>
      </c>
      <c r="C3" s="99"/>
      <c r="D3" s="22" t="s">
        <v>435</v>
      </c>
      <c r="E3" s="22" t="s">
        <v>436</v>
      </c>
      <c r="F3" s="50"/>
      <c r="G3" s="50"/>
    </row>
    <row r="4" spans="1:171" ht="28.5" customHeight="1" x14ac:dyDescent="0.25">
      <c r="A4" s="53" t="s">
        <v>213</v>
      </c>
      <c r="B4" s="53" t="s">
        <v>214</v>
      </c>
      <c r="C4" s="9" t="s">
        <v>101</v>
      </c>
      <c r="D4" s="6" t="s">
        <v>385</v>
      </c>
      <c r="E4" s="6" t="s">
        <v>386</v>
      </c>
      <c r="F4" s="10"/>
      <c r="G4" s="10"/>
    </row>
    <row r="5" spans="1:171" ht="28.5" customHeight="1" x14ac:dyDescent="0.25">
      <c r="A5" s="23" t="s">
        <v>389</v>
      </c>
      <c r="B5" s="23" t="s">
        <v>389</v>
      </c>
      <c r="C5" s="9" t="s">
        <v>102</v>
      </c>
      <c r="D5" s="6">
        <v>100</v>
      </c>
      <c r="E5" s="6">
        <v>150</v>
      </c>
      <c r="F5" s="10"/>
      <c r="G5" s="10"/>
    </row>
    <row r="6" spans="1:171" ht="28.5" customHeight="1" x14ac:dyDescent="0.25">
      <c r="A6" s="34" t="s">
        <v>147</v>
      </c>
      <c r="B6" s="16" t="s">
        <v>148</v>
      </c>
      <c r="C6" s="52" t="s">
        <v>103</v>
      </c>
      <c r="D6" s="6">
        <v>20</v>
      </c>
      <c r="E6" s="6">
        <v>30</v>
      </c>
      <c r="F6" s="10"/>
      <c r="G6" s="10"/>
    </row>
    <row r="7" spans="1:171" ht="28.5" customHeight="1" x14ac:dyDescent="0.25">
      <c r="A7" s="34" t="s">
        <v>149</v>
      </c>
      <c r="B7" s="16" t="s">
        <v>150</v>
      </c>
      <c r="C7" s="9" t="s">
        <v>111</v>
      </c>
      <c r="D7" s="6">
        <v>45</v>
      </c>
      <c r="E7" s="6">
        <v>45</v>
      </c>
      <c r="F7" s="10"/>
      <c r="G7" s="10"/>
    </row>
    <row r="8" spans="1:171" ht="28.5" customHeight="1" x14ac:dyDescent="0.25">
      <c r="A8" s="8" t="s">
        <v>89</v>
      </c>
      <c r="B8" s="8" t="s">
        <v>98</v>
      </c>
      <c r="C8" s="9" t="s">
        <v>107</v>
      </c>
      <c r="D8" s="6">
        <v>1</v>
      </c>
      <c r="E8" s="6">
        <v>1</v>
      </c>
      <c r="F8" s="10"/>
      <c r="G8" s="10"/>
    </row>
    <row r="9" spans="1:171" ht="28.5" customHeight="1" x14ac:dyDescent="0.25">
      <c r="A9" s="23" t="s">
        <v>390</v>
      </c>
      <c r="B9" s="54" t="s">
        <v>391</v>
      </c>
      <c r="C9" s="9" t="s">
        <v>387</v>
      </c>
      <c r="D9" s="6">
        <v>0.04</v>
      </c>
      <c r="E9" s="6">
        <v>0.04</v>
      </c>
      <c r="F9" s="10"/>
      <c r="G9" s="10"/>
    </row>
    <row r="10" spans="1:171" ht="28.5" customHeight="1" x14ac:dyDescent="0.25">
      <c r="A10" s="53" t="s">
        <v>392</v>
      </c>
      <c r="B10" s="53" t="s">
        <v>393</v>
      </c>
      <c r="C10" s="40" t="s">
        <v>105</v>
      </c>
      <c r="D10" s="6">
        <v>1.5</v>
      </c>
      <c r="E10" s="6">
        <v>1.5</v>
      </c>
      <c r="F10" s="10"/>
      <c r="G10" s="10"/>
    </row>
    <row r="11" spans="1:171" ht="28.5" customHeight="1" x14ac:dyDescent="0.25">
      <c r="A11" s="34" t="s">
        <v>170</v>
      </c>
      <c r="B11" s="16" t="s">
        <v>171</v>
      </c>
      <c r="C11" s="40" t="s">
        <v>105</v>
      </c>
      <c r="D11" s="6">
        <v>1.54</v>
      </c>
      <c r="E11" s="6">
        <v>1.54</v>
      </c>
      <c r="F11" s="10"/>
      <c r="G11" s="10"/>
    </row>
    <row r="12" spans="1:171" ht="28.5" customHeight="1" x14ac:dyDescent="0.25">
      <c r="A12" s="8" t="s">
        <v>90</v>
      </c>
      <c r="B12" s="8" t="s">
        <v>99</v>
      </c>
      <c r="C12" s="9" t="s">
        <v>107</v>
      </c>
      <c r="D12" s="6">
        <v>1</v>
      </c>
      <c r="E12" s="6">
        <v>1</v>
      </c>
      <c r="F12" s="10"/>
      <c r="G12" s="10"/>
    </row>
    <row r="13" spans="1:171" ht="28.5" customHeight="1" x14ac:dyDescent="0.25">
      <c r="A13" s="23" t="s">
        <v>108</v>
      </c>
      <c r="B13" s="23" t="s">
        <v>109</v>
      </c>
      <c r="C13" s="9" t="s">
        <v>110</v>
      </c>
      <c r="D13" s="6" t="s">
        <v>254</v>
      </c>
      <c r="E13" s="6" t="s">
        <v>254</v>
      </c>
    </row>
    <row r="14" spans="1:171" ht="28.5" customHeight="1" x14ac:dyDescent="0.25">
      <c r="A14" s="34" t="s">
        <v>166</v>
      </c>
      <c r="B14" s="16" t="s">
        <v>167</v>
      </c>
      <c r="C14" s="9"/>
      <c r="D14" s="51" t="s">
        <v>388</v>
      </c>
      <c r="E14" s="51" t="s">
        <v>388</v>
      </c>
    </row>
    <row r="15" spans="1:171" ht="18" customHeight="1" x14ac:dyDescent="0.25">
      <c r="A15" s="91" t="s">
        <v>450</v>
      </c>
      <c r="B15" s="91" t="s">
        <v>451</v>
      </c>
      <c r="C15" s="92"/>
      <c r="D15" s="93" t="s">
        <v>452</v>
      </c>
      <c r="E15" s="93" t="s">
        <v>452</v>
      </c>
    </row>
    <row r="16" spans="1:171" ht="16.899999999999999" customHeight="1" x14ac:dyDescent="0.25">
      <c r="A16" s="91" t="s">
        <v>453</v>
      </c>
      <c r="B16" s="91" t="s">
        <v>454</v>
      </c>
      <c r="C16" s="92"/>
      <c r="D16" s="93" t="s">
        <v>455</v>
      </c>
      <c r="E16" s="93" t="s">
        <v>455</v>
      </c>
    </row>
    <row r="18" spans="1:1" ht="21" x14ac:dyDescent="0.25">
      <c r="A18" s="100" t="s">
        <v>459</v>
      </c>
    </row>
  </sheetData>
  <mergeCells count="3">
    <mergeCell ref="A1:C2"/>
    <mergeCell ref="D1:D2"/>
    <mergeCell ref="E1:E2"/>
  </mergeCells>
  <pageMargins left="0.7" right="0.7" top="0.75" bottom="0.75" header="0.3" footer="0.3"/>
  <pageSetup paperSize="9" scale="29" orientation="portrait" horizontalDpi="0" verticalDpi="0" r:id="rId1"/>
  <colBreaks count="1" manualBreakCount="1">
    <brk id="25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2D8F2-B9BD-4B90-9198-EAF38BFCCEA7}">
  <sheetPr>
    <tabColor rgb="FFDFF4FD"/>
  </sheetPr>
  <dimension ref="A1:FW19"/>
  <sheetViews>
    <sheetView topLeftCell="A3" zoomScaleNormal="100" workbookViewId="0">
      <selection activeCell="F16" sqref="F16"/>
    </sheetView>
  </sheetViews>
  <sheetFormatPr defaultColWidth="9.140625" defaultRowHeight="15" x14ac:dyDescent="0.25"/>
  <cols>
    <col min="1" max="1" width="30.28515625" style="7" bestFit="1" customWidth="1"/>
    <col min="2" max="2" width="32.140625" style="7" customWidth="1"/>
    <col min="3" max="3" width="9.28515625" style="10" customWidth="1"/>
    <col min="4" max="4" width="32.140625" style="7" customWidth="1"/>
    <col min="5" max="5" width="18.7109375" style="7" bestFit="1" customWidth="1"/>
    <col min="6" max="6" width="151.7109375" style="7" bestFit="1" customWidth="1"/>
    <col min="7" max="16384" width="9.140625" style="7"/>
  </cols>
  <sheetData>
    <row r="1" spans="1:179" x14ac:dyDescent="0.25">
      <c r="A1" s="140" t="s">
        <v>402</v>
      </c>
      <c r="B1" s="139"/>
      <c r="C1" s="139"/>
      <c r="D1" s="156" t="s">
        <v>438</v>
      </c>
    </row>
    <row r="2" spans="1:179" ht="34.9" customHeight="1" x14ac:dyDescent="0.25">
      <c r="A2" s="139"/>
      <c r="B2" s="139"/>
      <c r="C2" s="139"/>
      <c r="D2" s="156"/>
    </row>
    <row r="3" spans="1:179" ht="33.6" customHeight="1" x14ac:dyDescent="0.25">
      <c r="A3" s="46" t="s">
        <v>82</v>
      </c>
      <c r="B3" s="46" t="s">
        <v>83</v>
      </c>
      <c r="C3" s="99"/>
      <c r="D3" s="6" t="s">
        <v>437</v>
      </c>
      <c r="F3" s="77"/>
    </row>
    <row r="4" spans="1:179" s="5" customFormat="1" ht="33" customHeight="1" x14ac:dyDescent="0.25">
      <c r="A4" s="60" t="s">
        <v>394</v>
      </c>
      <c r="B4" s="55" t="s">
        <v>395</v>
      </c>
      <c r="C4" s="9" t="s">
        <v>101</v>
      </c>
      <c r="D4" s="6" t="s">
        <v>411</v>
      </c>
      <c r="E4" s="7"/>
      <c r="F4" s="7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</row>
    <row r="5" spans="1:179" s="5" customFormat="1" ht="33" customHeight="1" x14ac:dyDescent="0.25">
      <c r="A5" s="8" t="s">
        <v>396</v>
      </c>
      <c r="B5" s="8" t="s">
        <v>397</v>
      </c>
      <c r="C5" s="9" t="s">
        <v>101</v>
      </c>
      <c r="D5" s="39" t="s">
        <v>410</v>
      </c>
      <c r="E5" s="7"/>
      <c r="F5" s="78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</row>
    <row r="6" spans="1:179" s="11" customFormat="1" ht="28.5" customHeight="1" x14ac:dyDescent="0.25">
      <c r="A6" s="8" t="s">
        <v>85</v>
      </c>
      <c r="B6" s="8" t="s">
        <v>93</v>
      </c>
      <c r="C6" s="9" t="s">
        <v>101</v>
      </c>
      <c r="D6" s="6">
        <v>465</v>
      </c>
      <c r="E6" s="7"/>
      <c r="F6" s="79"/>
    </row>
    <row r="7" spans="1:179" ht="28.5" customHeight="1" x14ac:dyDescent="0.25">
      <c r="A7" s="8" t="s">
        <v>86</v>
      </c>
      <c r="B7" s="8" t="s">
        <v>94</v>
      </c>
      <c r="C7" s="9" t="s">
        <v>102</v>
      </c>
      <c r="D7" s="6">
        <v>50</v>
      </c>
      <c r="F7" s="79"/>
    </row>
    <row r="8" spans="1:179" ht="28.5" customHeight="1" x14ac:dyDescent="0.25">
      <c r="A8" s="8" t="s">
        <v>87</v>
      </c>
      <c r="B8" s="8" t="s">
        <v>95</v>
      </c>
      <c r="C8" s="9" t="s">
        <v>103</v>
      </c>
      <c r="D8" s="6">
        <v>140</v>
      </c>
      <c r="F8" s="79"/>
    </row>
    <row r="9" spans="1:179" ht="28.5" customHeight="1" x14ac:dyDescent="0.25">
      <c r="A9" s="8" t="s">
        <v>91</v>
      </c>
      <c r="B9" s="8" t="s">
        <v>100</v>
      </c>
      <c r="C9" s="9" t="s">
        <v>111</v>
      </c>
      <c r="D9" s="6">
        <v>55</v>
      </c>
      <c r="F9" s="79"/>
      <c r="H9" s="61"/>
    </row>
    <row r="10" spans="1:179" ht="28.5" customHeight="1" x14ac:dyDescent="0.25">
      <c r="A10" s="8" t="s">
        <v>514</v>
      </c>
      <c r="B10" s="8" t="s">
        <v>513</v>
      </c>
      <c r="C10" s="9" t="s">
        <v>105</v>
      </c>
      <c r="D10" s="6">
        <v>1.5</v>
      </c>
      <c r="E10" s="80"/>
      <c r="F10"/>
    </row>
    <row r="11" spans="1:179" ht="28.5" customHeight="1" x14ac:dyDescent="0.25">
      <c r="A11" s="8" t="s">
        <v>515</v>
      </c>
      <c r="B11" s="8" t="s">
        <v>516</v>
      </c>
      <c r="C11" s="9" t="s">
        <v>105</v>
      </c>
      <c r="D11" s="6">
        <v>0.37</v>
      </c>
      <c r="E11" s="80"/>
      <c r="F11"/>
    </row>
    <row r="12" spans="1:179" ht="28.5" customHeight="1" x14ac:dyDescent="0.25">
      <c r="A12" s="155" t="s">
        <v>398</v>
      </c>
      <c r="B12" s="8" t="s">
        <v>399</v>
      </c>
      <c r="C12" s="9" t="s">
        <v>105</v>
      </c>
      <c r="D12" s="6">
        <v>1.5</v>
      </c>
      <c r="H12" s="61"/>
    </row>
    <row r="13" spans="1:179" ht="28.5" customHeight="1" x14ac:dyDescent="0.25">
      <c r="A13" s="34" t="s">
        <v>170</v>
      </c>
      <c r="B13" s="16" t="s">
        <v>171</v>
      </c>
      <c r="C13" s="9" t="s">
        <v>105</v>
      </c>
      <c r="D13" s="6">
        <f>SUM(D10:D12)</f>
        <v>3.37</v>
      </c>
    </row>
    <row r="14" spans="1:179" ht="27" customHeight="1" x14ac:dyDescent="0.25">
      <c r="A14" s="34" t="s">
        <v>166</v>
      </c>
      <c r="B14" s="16" t="s">
        <v>167</v>
      </c>
      <c r="C14" s="9"/>
      <c r="D14" s="39" t="s">
        <v>517</v>
      </c>
    </row>
    <row r="15" spans="1:179" ht="28.5" customHeight="1" x14ac:dyDescent="0.25">
      <c r="A15" s="8" t="s">
        <v>108</v>
      </c>
      <c r="B15" s="8" t="s">
        <v>109</v>
      </c>
      <c r="C15" s="9" t="s">
        <v>110</v>
      </c>
      <c r="D15" s="157" t="s">
        <v>400</v>
      </c>
    </row>
    <row r="16" spans="1:179" ht="21" customHeight="1" x14ac:dyDescent="0.25">
      <c r="A16" s="91" t="s">
        <v>450</v>
      </c>
      <c r="B16" s="91" t="s">
        <v>451</v>
      </c>
      <c r="C16" s="92"/>
      <c r="D16" s="90" t="s">
        <v>452</v>
      </c>
    </row>
    <row r="17" spans="1:4" ht="21" customHeight="1" x14ac:dyDescent="0.25">
      <c r="A17" s="91" t="s">
        <v>453</v>
      </c>
      <c r="B17" s="91" t="s">
        <v>454</v>
      </c>
      <c r="C17" s="92"/>
      <c r="D17" s="90" t="s">
        <v>455</v>
      </c>
    </row>
    <row r="19" spans="1:4" ht="21" x14ac:dyDescent="0.25">
      <c r="A19" s="100" t="s">
        <v>459</v>
      </c>
    </row>
  </sheetData>
  <mergeCells count="2">
    <mergeCell ref="A1:C2"/>
    <mergeCell ref="D1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12</vt:i4>
      </vt:variant>
    </vt:vector>
  </HeadingPairs>
  <TitlesOfParts>
    <vt:vector size="12" baseType="lpstr">
      <vt:lpstr>LYM Series</vt:lpstr>
      <vt:lpstr>KBN1 Series</vt:lpstr>
      <vt:lpstr>KBN2 Series</vt:lpstr>
      <vt:lpstr>VDL1 Series</vt:lpstr>
      <vt:lpstr>VDL2 Series</vt:lpstr>
      <vt:lpstr>VDL3 Series</vt:lpstr>
      <vt:lpstr>RTS Series</vt:lpstr>
      <vt:lpstr>KNV Series</vt:lpstr>
      <vt:lpstr>ULT M Series</vt:lpstr>
      <vt:lpstr>ULT M-L Series</vt:lpstr>
      <vt:lpstr>MST LVB Series</vt:lpstr>
      <vt:lpstr>MST Pro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Tuncay Cinici -DOLFİN</dc:creator>
  <cp:lastModifiedBy>Tuncay Cinici -DOLFİN</cp:lastModifiedBy>
  <dcterms:created xsi:type="dcterms:W3CDTF">2026-08-11T07:18:38Z</dcterms:created>
  <dcterms:modified xsi:type="dcterms:W3CDTF">2026-08-25T19:28:14Z</dcterms:modified>
</cp:coreProperties>
</file>